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c0ac8ec04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6b9e19a6428488f"/>
    <x:sheet xmlns:r="http://schemas.openxmlformats.org/officeDocument/2006/relationships" name="정답코드" sheetId="2" r:id="R097f63c43be64a3d"/>
    <x:sheet xmlns:r="http://schemas.openxmlformats.org/officeDocument/2006/relationships" name="A_채점" sheetId="3" r:id="R3171904dece94acb"/>
    <x:sheet xmlns:r="http://schemas.openxmlformats.org/officeDocument/2006/relationships" name="B_채점" sheetId="4" r:id="Rcce2efba3d3d4a06"/>
    <x:sheet xmlns:r="http://schemas.openxmlformats.org/officeDocument/2006/relationships" name="C_채점" sheetId="5" r:id="R6e201c0c3e564bb0"/>
    <x:sheet xmlns:r="http://schemas.openxmlformats.org/officeDocument/2006/relationships" name="D_채점" sheetId="6" r:id="R71c0fce2fc21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9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FFC00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0350b79894735" /><Relationship Type="http://schemas.openxmlformats.org/officeDocument/2006/relationships/theme" Target="/xl/theme/theme1.xml" Id="R3bbc5bde02214bac" /><Relationship Type="http://schemas.openxmlformats.org/officeDocument/2006/relationships/sharedStrings" Target="/xl/sharedStrings.xml" Id="R2536153c999946ed" /><Relationship Type="http://schemas.openxmlformats.org/officeDocument/2006/relationships/worksheet" Target="/xl/worksheets/sheet1.xml" Id="R06b9e19a6428488f" /><Relationship Type="http://schemas.openxmlformats.org/officeDocument/2006/relationships/worksheet" Target="/xl/worksheets/sheet2.xml" Id="R097f63c43be64a3d" /><Relationship Type="http://schemas.openxmlformats.org/officeDocument/2006/relationships/worksheet" Target="/xl/worksheets/sheet3.xml" Id="R3171904dece94acb" /><Relationship Type="http://schemas.openxmlformats.org/officeDocument/2006/relationships/worksheet" Target="/xl/worksheets/sheet4.xml" Id="Rcce2efba3d3d4a06" /><Relationship Type="http://schemas.openxmlformats.org/officeDocument/2006/relationships/worksheet" Target="/xl/worksheets/sheet5.xml" Id="R6e201c0c3e564bb0" /><Relationship Type="http://schemas.openxmlformats.org/officeDocument/2006/relationships/worksheet" Target="/xl/worksheets/sheet6.xml" Id="R71c0fce2fc21455b" /></Relationships>
</file>

<file path=xl/tables/table1.xml><?xml version="1.0" encoding="utf-8"?>
<x:table xmlns:x="http://schemas.openxmlformats.org/spreadsheetml/2006/main" id="1" name="AnswerCodes" displayName="AnswerCodes" ref="A1:H73" headerRowCount="1">
  <x:tableColumns count="8">
    <x:tableColumn id="1" name="사례"/>
    <x:tableColumn id="2" name="코드"/>
    <x:tableColumn id="3" name="고위험"/>
    <x:tableColumn id="4" name="영역"/>
    <x:tableColumn id="5" name="세팅 단서/오류"/>
    <x:tableColumn id="6" name="환자안전 위험"/>
    <x:tableColumn id="7" name="기대 조치"/>
    <x:tableColumn id="8" name="기본점수"/>
  </x:tableColumns>
  <x:tableStyleInfo name="TableStyleMedium2" showRowStripes="1"/>
</x:table>
</file>

<file path=xl/tables/table2.xml><?xml version="1.0" encoding="utf-8"?>
<x:table xmlns:x="http://schemas.openxmlformats.org/spreadsheetml/2006/main" id="2" name="ScoreCaseA" displayName="ScoreCaseA" ref="A3:AE23" headerRowCount="1">
  <x:tableColumns count="31">
    <x:tableColumn id="1" name="반"/>
    <x:tableColumn id="2" name="조"/>
    <x:tableColumn id="3" name="조원/메모"/>
    <x:tableColumn id="4" name="A01"/>
    <x:tableColumn id="5" name="A02"/>
    <x:tableColumn id="6" name="A03"/>
    <x:tableColumn id="7" name="A04"/>
    <x:tableColumn id="8" name="A05"/>
    <x:tableColumn id="9" name="A06"/>
    <x:tableColumn id="10" name="A07"/>
    <x:tableColumn id="11" name="A08"/>
    <x:tableColumn id="12" name="A09"/>
    <x:tableColumn id="13" name="A10"/>
    <x:tableColumn id="14" name="A11"/>
    <x:tableColumn id="15" name="A12"/>
    <x:tableColumn id="16" name="A13"/>
    <x:tableColumn id="17" name="A14"/>
    <x:tableColumn id="18" name="A15"/>
    <x:tableColumn id="19" name="A16"/>
    <x:tableColumn id="20" name="A17"/>
    <x:tableColumn id="21" name="A18"/>
    <x:tableColumn id="22" name="탐지수"/>
    <x:tableColumn id="23" name="고위험수"/>
    <x:tableColumn id="24" name="탐지점수(40)"/>
    <x:tableColumn id="25" name="고위험점수(15)"/>
    <x:tableColumn id="26" name="우선순위(15)"/>
    <x:tableColumn id="27" name="SBAR(15)"/>
    <x:tableColumn id="28" name="팀워크(10)"/>
    <x:tableColumn id="29" name="성찰(5)"/>
    <x:tableColumn id="30" name="총점"/>
    <x:tableColumn id="31" name="교수 피드백"/>
  </x:tableColumns>
  <x:tableStyleInfo name="TableStyleMedium2" showRowStripes="1"/>
</x:table>
</file>

<file path=xl/tables/table3.xml><?xml version="1.0" encoding="utf-8"?>
<x:table xmlns:x="http://schemas.openxmlformats.org/spreadsheetml/2006/main" id="3" name="ScoreCaseB" displayName="ScoreCaseB" ref="A3:AE23" headerRowCount="1">
  <x:tableColumns count="31">
    <x:tableColumn id="1" name="반"/>
    <x:tableColumn id="2" name="조"/>
    <x:tableColumn id="3" name="조원/메모"/>
    <x:tableColumn id="4" name="B01"/>
    <x:tableColumn id="5" name="B02"/>
    <x:tableColumn id="6" name="B03"/>
    <x:tableColumn id="7" name="B04"/>
    <x:tableColumn id="8" name="B05"/>
    <x:tableColumn id="9" name="B06"/>
    <x:tableColumn id="10" name="B07"/>
    <x:tableColumn id="11" name="B08"/>
    <x:tableColumn id="12" name="B09"/>
    <x:tableColumn id="13" name="B10"/>
    <x:tableColumn id="14" name="B11"/>
    <x:tableColumn id="15" name="B12"/>
    <x:tableColumn id="16" name="B13"/>
    <x:tableColumn id="17" name="B14"/>
    <x:tableColumn id="18" name="B15"/>
    <x:tableColumn id="19" name="B16"/>
    <x:tableColumn id="20" name="B17"/>
    <x:tableColumn id="21" name="B18"/>
    <x:tableColumn id="22" name="탐지수"/>
    <x:tableColumn id="23" name="고위험수"/>
    <x:tableColumn id="24" name="탐지점수(40)"/>
    <x:tableColumn id="25" name="고위험점수(15)"/>
    <x:tableColumn id="26" name="우선순위(15)"/>
    <x:tableColumn id="27" name="SBAR(15)"/>
    <x:tableColumn id="28" name="팀워크(10)"/>
    <x:tableColumn id="29" name="성찰(5)"/>
    <x:tableColumn id="30" name="총점"/>
    <x:tableColumn id="31" name="교수 피드백"/>
  </x:tableColumns>
  <x:tableStyleInfo name="TableStyleMedium2" showRowStripes="1"/>
</x:table>
</file>

<file path=xl/tables/table4.xml><?xml version="1.0" encoding="utf-8"?>
<x:table xmlns:x="http://schemas.openxmlformats.org/spreadsheetml/2006/main" id="4" name="ScoreCaseC" displayName="ScoreCaseC" ref="A3:AE23" headerRowCount="1">
  <x:tableColumns count="31">
    <x:tableColumn id="1" name="반"/>
    <x:tableColumn id="2" name="조"/>
    <x:tableColumn id="3" name="조원/메모"/>
    <x:tableColumn id="4" name="C01"/>
    <x:tableColumn id="5" name="C02"/>
    <x:tableColumn id="6" name="C03"/>
    <x:tableColumn id="7" name="C04"/>
    <x:tableColumn id="8" name="C05"/>
    <x:tableColumn id="9" name="C06"/>
    <x:tableColumn id="10" name="C07"/>
    <x:tableColumn id="11" name="C08"/>
    <x:tableColumn id="12" name="C09"/>
    <x:tableColumn id="13" name="C10"/>
    <x:tableColumn id="14" name="C11"/>
    <x:tableColumn id="15" name="C12"/>
    <x:tableColumn id="16" name="C13"/>
    <x:tableColumn id="17" name="C14"/>
    <x:tableColumn id="18" name="C15"/>
    <x:tableColumn id="19" name="C16"/>
    <x:tableColumn id="20" name="C17"/>
    <x:tableColumn id="21" name="C18"/>
    <x:tableColumn id="22" name="탐지수"/>
    <x:tableColumn id="23" name="고위험수"/>
    <x:tableColumn id="24" name="탐지점수(40)"/>
    <x:tableColumn id="25" name="고위험점수(15)"/>
    <x:tableColumn id="26" name="우선순위(15)"/>
    <x:tableColumn id="27" name="SBAR(15)"/>
    <x:tableColumn id="28" name="팀워크(10)"/>
    <x:tableColumn id="29" name="성찰(5)"/>
    <x:tableColumn id="30" name="총점"/>
    <x:tableColumn id="31" name="교수 피드백"/>
  </x:tableColumns>
  <x:tableStyleInfo name="TableStyleMedium2" showRowStripes="1"/>
</x:table>
</file>

<file path=xl/tables/table5.xml><?xml version="1.0" encoding="utf-8"?>
<x:table xmlns:x="http://schemas.openxmlformats.org/spreadsheetml/2006/main" id="5" name="ScoreCaseD" displayName="ScoreCaseD" ref="A3:AE23" headerRowCount="1">
  <x:tableColumns count="31">
    <x:tableColumn id="1" name="반"/>
    <x:tableColumn id="2" name="조"/>
    <x:tableColumn id="3" name="조원/메모"/>
    <x:tableColumn id="4" name="D01"/>
    <x:tableColumn id="5" name="D02"/>
    <x:tableColumn id="6" name="D03"/>
    <x:tableColumn id="7" name="D04"/>
    <x:tableColumn id="8" name="D05"/>
    <x:tableColumn id="9" name="D06"/>
    <x:tableColumn id="10" name="D07"/>
    <x:tableColumn id="11" name="D08"/>
    <x:tableColumn id="12" name="D09"/>
    <x:tableColumn id="13" name="D10"/>
    <x:tableColumn id="14" name="D11"/>
    <x:tableColumn id="15" name="D12"/>
    <x:tableColumn id="16" name="D13"/>
    <x:tableColumn id="17" name="D14"/>
    <x:tableColumn id="18" name="D15"/>
    <x:tableColumn id="19" name="D16"/>
    <x:tableColumn id="20" name="D17"/>
    <x:tableColumn id="21" name="D18"/>
    <x:tableColumn id="22" name="탐지수"/>
    <x:tableColumn id="23" name="고위험수"/>
    <x:tableColumn id="24" name="탐지점수(40)"/>
    <x:tableColumn id="25" name="고위험점수(15)"/>
    <x:tableColumn id="26" name="우선순위(15)"/>
    <x:tableColumn id="27" name="SBAR(15)"/>
    <x:tableColumn id="28" name="팀워크(10)"/>
    <x:tableColumn id="29" name="성찰(5)"/>
    <x:tableColumn id="30" name="총점"/>
    <x:tableColumn id="31" name="교수 피드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7bb52ff76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c6c186fa70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6137cdd97140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eda0abc2ab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deddef158543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5" t="str">
        <x:v>Room of Errors 추가 사례 4종 평가표</x:v>
      </x:c>
    </x:row>
    <x:row r="2">
      <x:c r="A2" t="str">
        <x:v>대상: 간호학과 4학년 / 4개 반 × 5개 조 / 사례 A-D 중 선택 적용</x:v>
      </x:c>
    </x:row>
    <x:row r="4">
      <x:c r="A4" s="14" t="str">
        <x:v>구성</x:v>
      </x:c>
      <x:c r="B4" s="14" t="str">
        <x:v>내용</x:v>
      </x:c>
    </x:row>
    <x:row r="5">
      <x:c r="A5" s="21" t="str">
        <x:v>정답코드</x:v>
      </x:c>
      <x:c r="B5" s="21" t="str">
        <x:v>4개 사례의 오류 코드, 고위험 여부, 기대 조치, 배점을 확인합니다.</x:v>
      </x:c>
    </x:row>
    <x:row r="6">
      <x:c r="A6" s="21" t="str">
        <x:v>A_채점~D_채점</x:v>
      </x:c>
      <x:c r="B6" s="21" t="str">
        <x:v>각 사례별 4개 반 × 5개 조 입력용 시트입니다. 오류 코드는 0/1로 입력합니다.</x:v>
      </x:c>
    </x:row>
    <x:row r="7">
      <x:c r="A7" s="21" t="str">
        <x:v>채점 방식</x:v>
      </x:c>
      <x:c r="B7" s="21" t="str">
        <x:v>탐지점수 40점 + 고위험 15점 + 우선순위 15점 + SBAR 15점 + 팀워크 10점 + 성찰 5점 = 총 100점</x:v>
      </x:c>
    </x:row>
    <x:row r="8">
      <x:c r="A8" s="21" t="str">
        <x:v>입력 원칙</x:v>
      </x:c>
      <x:c r="B8" s="21" t="str">
        <x:v>오류코드 칸에는 발견=1, 미발견=0을 입력합니다. 우선순위·SBAR·팀워크·성찰은 교수자가 직접 입력합니다.</x:v>
      </x:c>
    </x:row>
    <x:row r="9">
      <x:c r="A9" s="21" t="str">
        <x:v>고위험 오류</x:v>
      </x:c>
      <x:c r="B9" s="21" t="str">
        <x:v>각 사례에서 즉시 위해 가능성이 높은 오류 5개입니다. 정답코드 시트의 고위험 열과 교수용 문서를 참고합니다.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8" hidden="0" customWidth="1"/>
    <x:col min="4" max="4" width="16" hidden="0" customWidth="1"/>
    <x:col min="5" max="5" width="46" hidden="0" customWidth="1"/>
    <x:col min="6" max="6" width="36" hidden="0" customWidth="1"/>
    <x:col min="7" max="7" width="46" hidden="0" customWidth="1"/>
    <x:col min="8" max="8" width="10" hidden="0" customWidth="1"/>
  </x:cols>
  <x:sheetData>
    <x:row r="1">
      <x:c r="A1" s="14" t="str">
        <x:v>사례</x:v>
      </x:c>
      <x:c r="B1" s="14" t="str">
        <x:v>코드</x:v>
      </x:c>
      <x:c r="C1" s="14" t="str">
        <x:v>고위험</x:v>
      </x:c>
      <x:c r="D1" s="14" t="str">
        <x:v>영역</x:v>
      </x:c>
      <x:c r="E1" s="14" t="str">
        <x:v>세팅 단서/오류</x:v>
      </x:c>
      <x:c r="F1" s="14" t="str">
        <x:v>환자안전 위험</x:v>
      </x:c>
      <x:c r="G1" s="14" t="str">
        <x:v>기대 조치</x:v>
      </x:c>
      <x:c r="H1" s="14" t="str">
        <x:v>기본점수</x:v>
      </x:c>
    </x:row>
    <x:row r="2">
      <x:c r="A2" s="21" t="str">
        <x:v>CASE A</x:v>
      </x:c>
      <x:c r="B2" s="21" t="str">
        <x:v>A01</x:v>
      </x:c>
      <x:c r="C2" s="21" t="str">
        <x:v>Y</x:v>
      </x:c>
      <x:c r="D2" s="21" t="str">
        <x:v>환자확인</x:v>
      </x:c>
      <x:c r="E2" s="21" t="str">
        <x:v>환자 팔찌가 없거나 차트 이름과 침상 이름표가 불일치함.</x:v>
      </x:c>
      <x:c r="F2" s="21" t="str">
        <x:v>타 환자 처치·투약 위험.</x:v>
      </x:c>
      <x:c r="G2" s="21" t="str">
        <x:v>두 가지 식별자로 확인하고 팔찌·침상표·차트를 즉시 교정한다.</x:v>
      </x:c>
      <x:c r="H2" s="21" t="n">
        <x:v>2</x:v>
      </x:c>
    </x:row>
    <x:row r="3">
      <x:c r="A3" s="21" t="str">
        <x:v>CASE A</x:v>
      </x:c>
      <x:c r="B3" s="21" t="str">
        <x:v>A02</x:v>
      </x:c>
      <x:c r="C3" s="21" t="str"/>
      <x:c r="D3" s="21" t="str">
        <x:v>낙상/환경</x:v>
      </x:c>
      <x:c r="E3" s="21" t="str">
        <x:v>침상 높이가 높고 브레이크가 잠겨 있지 않음.</x:v>
      </x:c>
      <x:c r="F3" s="21" t="str">
        <x:v>어지러움·수술 후 쇠약 환자의 낙상 위험.</x:v>
      </x:c>
      <x:c r="G3" s="21" t="str">
        <x:v>침상 낮추기, 브레이크 잠금, 주변 정리.</x:v>
      </x:c>
      <x:c r="H3" s="21" t="n">
        <x:v>1</x:v>
      </x:c>
    </x:row>
    <x:row r="4">
      <x:c r="A4" s="21" t="str">
        <x:v>CASE A</x:v>
      </x:c>
      <x:c r="B4" s="21" t="str">
        <x:v>A03</x:v>
      </x:c>
      <x:c r="C4" s="21" t="str"/>
      <x:c r="D4" s="21" t="str">
        <x:v>낙상/환경</x:v>
      </x:c>
      <x:c r="E4" s="21" t="str">
        <x:v>호출벨과 휴대품이 환자 손이 닿지 않는 곳에 있음.</x:v>
      </x:c>
      <x:c r="F4" s="21" t="str">
        <x:v>무리한 이동으로 낙상 가능.</x:v>
      </x:c>
      <x:c r="G4" s="21" t="str">
        <x:v>호출벨·물품을 비마비측/손 닿는 곳에 둔다.</x:v>
      </x:c>
      <x:c r="H4" s="21" t="n">
        <x:v>1</x:v>
      </x:c>
    </x:row>
    <x:row r="5">
      <x:c r="A5" s="21" t="str">
        <x:v>CASE A</x:v>
      </x:c>
      <x:c r="B5" s="21" t="str">
        <x:v>A04</x:v>
      </x:c>
      <x:c r="C5" s="21" t="str"/>
      <x:c r="D5" s="21" t="str">
        <x:v>낙상/환경</x:v>
      </x:c>
      <x:c r="E5" s="21" t="str">
        <x:v>낙상주의 표식 또는 미끄럼방지 양말이 없음.</x:v>
      </x:c>
      <x:c r="F5" s="21" t="str">
        <x:v>낙상 고위험 대상자 식별 실패.</x:v>
      </x:c>
      <x:c r="G5" s="21" t="str">
        <x:v>낙상팔찌·표식·미끄럼방지 양말 적용.</x:v>
      </x:c>
      <x:c r="H5" s="21" t="n">
        <x:v>1</x:v>
      </x:c>
    </x:row>
    <x:row r="6">
      <x:c r="A6" s="21" t="str">
        <x:v>CASE A</x:v>
      </x:c>
      <x:c r="B6" s="21" t="str">
        <x:v>A05</x:v>
      </x:c>
      <x:c r="C6" s="21" t="str">
        <x:v>Y</x:v>
      </x:c>
      <x:c r="D6" s="21" t="str">
        <x:v>임상악화</x:v>
      </x:c>
      <x:c r="E6" s="21" t="str">
        <x:v>RR 10회/분, SpO2 90%인데 산소·pulse oximeter가 연결되지 않았거나 알람이 꺼져 있음.</x:v>
      </x:c>
      <x:c r="F6" s="21" t="str">
        <x:v>PCA opioid 관련 호흡억제 가능성.</x:v>
      </x:c>
      <x:c r="G6" s="21" t="str">
        <x:v>기도·호흡 사정, 산소 적용, PCA 일시 중지 여부 판단, 즉시 보고.</x:v>
      </x:c>
      <x:c r="H6" s="21" t="n">
        <x:v>3</x:v>
      </x:c>
    </x:row>
    <x:row r="7">
      <x:c r="A7" s="21" t="str">
        <x:v>CASE A</x:v>
      </x:c>
      <x:c r="B7" s="21" t="str">
        <x:v>A06</x:v>
      </x:c>
      <x:c r="C7" s="21" t="str">
        <x:v>Y</x:v>
      </x:c>
      <x:c r="D7" s="21" t="str">
        <x:v>투약/PCA</x:v>
      </x:c>
      <x:c r="E7" s="21" t="str">
        <x:v>PCA 펌프 설정이 처방과 다름. 예: basal rate가 켜져 있거나 demand dose가 다름.</x:v>
      </x:c>
      <x:c r="F7" s="21" t="str">
        <x:v>과다투여와 호흡억제 위험.</x:v>
      </x:c>
      <x:c r="G7" s="21" t="str">
        <x:v>처방과 펌프 설정을 두 명이 대조, 오류 시 중지·보고.</x:v>
      </x:c>
      <x:c r="H7" s="21" t="n">
        <x:v>3</x:v>
      </x:c>
    </x:row>
    <x:row r="8">
      <x:c r="A8" s="21" t="str">
        <x:v>CASE A</x:v>
      </x:c>
      <x:c r="B8" s="21" t="str">
        <x:v>A07</x:v>
      </x:c>
      <x:c r="C8" s="21" t="str"/>
      <x:c r="D8" s="21" t="str">
        <x:v>투약/PCA</x:v>
      </x:c>
      <x:c r="E8" s="21" t="str">
        <x:v>PCA 라인과 약물 라벨이 없고 다른 수액라인과 구분되지 않음.</x:v>
      </x:c>
      <x:c r="F8" s="21" t="str">
        <x:v>라인 혼동·오투여 위험.</x:v>
      </x:c>
      <x:c r="G8" s="21" t="str">
        <x:v>PCA 전용 라벨 부착, 라인 추적, 연결부 확인.</x:v>
      </x:c>
      <x:c r="H8" s="21" t="n">
        <x:v>2</x:v>
      </x:c>
    </x:row>
    <x:row r="9">
      <x:c r="A9" s="21" t="str">
        <x:v>CASE A</x:v>
      </x:c>
      <x:c r="B9" s="21" t="str">
        <x:v>A08</x:v>
      </x:c>
      <x:c r="C9" s="21" t="str"/>
      <x:c r="D9" s="21" t="str">
        <x:v>문서/사정</x:v>
      </x:c>
      <x:c r="E9" s="21" t="str">
        <x:v>진정도·통증·PCA 사용량 기록이 누락됨.</x:v>
      </x:c>
      <x:c r="F9" s="21" t="str">
        <x:v>호흡억제와 통증 조절 실패를 놓칠 수 있음.</x:v>
      </x:c>
      <x:c r="G9" s="21" t="str">
        <x:v>RASS/진정도, RR, 통증점수, 사용량을 기록한다.</x:v>
      </x:c>
      <x:c r="H9" s="21" t="n">
        <x:v>1</x:v>
      </x:c>
    </x:row>
    <x:row r="10">
      <x:c r="A10" s="21" t="str">
        <x:v>CASE A</x:v>
      </x:c>
      <x:c r="B10" s="21" t="str">
        <x:v>A09</x:v>
      </x:c>
      <x:c r="C10" s="21" t="str">
        <x:v>Y</x:v>
      </x:c>
      <x:c r="D10" s="21" t="str">
        <x:v>출혈/상처</x:v>
      </x:c>
      <x:c r="E10" s="21" t="str">
        <x:v>수술부위 드레싱에 젖은 자국이 있으나 표시·시간·보고가 없음.</x:v>
      </x:c>
      <x:c r="F10" s="21" t="str">
        <x:v>출혈·문합부 합병증 조기 발견 지연.</x:v>
      </x:c>
      <x:c r="G10" s="21" t="str">
        <x:v>드레싱 경계 표시, 활력징후 재사정, 배액량 확인, 보고.</x:v>
      </x:c>
      <x:c r="H10" s="21" t="n">
        <x:v>3</x:v>
      </x:c>
    </x:row>
    <x:row r="11">
      <x:c r="A11" s="21" t="str">
        <x:v>CASE A</x:v>
      </x:c>
      <x:c r="B11" s="21" t="str">
        <x:v>A10</x:v>
      </x:c>
      <x:c r="C11" s="21" t="str"/>
      <x:c r="D11" s="21" t="str">
        <x:v>배액관</x:v>
      </x:c>
      <x:c r="E11" s="21" t="str">
        <x:v>JP drain이 압축되지 않았거나 배액량 기록표가 비어 있음.</x:v>
      </x:c>
      <x:c r="F11" s="21" t="str">
        <x:v>배액 기능 저하와 출혈량 평가 실패.</x:v>
      </x:c>
      <x:c r="G11" s="21" t="str">
        <x:v>bulb 재압축, 색·양 기록, 갑작스런 증가 시 보고.</x:v>
      </x:c>
      <x:c r="H11" s="21" t="n">
        <x:v>2</x:v>
      </x:c>
    </x:row>
    <x:row r="12">
      <x:c r="A12" s="21" t="str">
        <x:v>CASE A</x:v>
      </x:c>
      <x:c r="B12" s="21" t="str">
        <x:v>A11</x:v>
      </x:c>
      <x:c r="C12" s="21" t="str"/>
      <x:c r="D12" s="21" t="str">
        <x:v>도뇨관</x:v>
      </x:c>
      <x:c r="E12" s="21" t="str">
        <x:v>Foley bag이 방광보다 높거나 침상 위에 놓임.</x:v>
      </x:c>
      <x:c r="F12" s="21" t="str">
        <x:v>역류와 요로감염 위험.</x:v>
      </x:c>
      <x:c r="G12" s="21" t="str">
        <x:v>소변백을 방광보다 낮게 고정하고 바닥 접촉을 피한다.</x:v>
      </x:c>
      <x:c r="H12" s="21" t="n">
        <x:v>2</x:v>
      </x:c>
    </x:row>
    <x:row r="13">
      <x:c r="A13" s="21" t="str">
        <x:v>CASE A</x:v>
      </x:c>
      <x:c r="B13" s="21" t="str">
        <x:v>A12</x:v>
      </x:c>
      <x:c r="C13" s="21" t="str"/>
      <x:c r="D13" s="21" t="str">
        <x:v>도뇨관</x:v>
      </x:c>
      <x:c r="E13" s="21" t="str">
        <x:v>Foley tubing이 꺾여 있거나 고정장치가 없음.</x:v>
      </x:c>
      <x:c r="F13" s="21" t="str">
        <x:v>요정체, 견인 손상, 감염 위험.</x:v>
      </x:c>
      <x:c r="G13" s="21" t="str">
        <x:v>튜브 꼬임 해소, 허벅지 고정장치 적용.</x:v>
      </x:c>
      <x:c r="H13" s="21" t="n">
        <x:v>1</x:v>
      </x:c>
    </x:row>
    <x:row r="14">
      <x:c r="A14" s="21" t="str">
        <x:v>CASE A</x:v>
      </x:c>
      <x:c r="B14" s="21" t="str">
        <x:v>A13</x:v>
      </x:c>
      <x:c r="C14" s="21" t="str"/>
      <x:c r="D14" s="21" t="str">
        <x:v>IV 관리</x:v>
      </x:c>
      <x:c r="E14" s="21" t="str">
        <x:v>정맥주사 부위가 붉거나 부어 있고 드레싱 날짜가 없음.</x:v>
      </x:c>
      <x:c r="F14" s="21" t="str">
        <x:v>침윤·정맥염·감염 가능.</x:v>
      </x:c>
      <x:c r="G14" s="21" t="str">
        <x:v>삽입부 사정, 필요 시 제거·재삽입, 날짜 라벨링.</x:v>
      </x:c>
      <x:c r="H14" s="21" t="n">
        <x:v>2</x:v>
      </x:c>
    </x:row>
    <x:row r="15">
      <x:c r="A15" s="21" t="str">
        <x:v>CASE A</x:v>
      </x:c>
      <x:c r="B15" s="21" t="str">
        <x:v>A14</x:v>
      </x:c>
      <x:c r="C15" s="21" t="str"/>
      <x:c r="D15" s="21" t="str">
        <x:v>수액관리</x:v>
      </x:c>
      <x:c r="E15" s="21" t="str">
        <x:v>수액 펌프 속도가 처방 80 mL/hr와 다르게 설정됨.</x:v>
      </x:c>
      <x:c r="F15" s="21" t="str">
        <x:v>과다/과소 수액 투여 위험.</x:v>
      </x:c>
      <x:c r="G15" s="21" t="str">
        <x:v>처방·펌프·수액백을 확인하고 속도 수정.</x:v>
      </x:c>
      <x:c r="H15" s="21" t="n">
        <x:v>2</x:v>
      </x:c>
    </x:row>
    <x:row r="16">
      <x:c r="A16" s="21" t="str">
        <x:v>CASE A</x:v>
      </x:c>
      <x:c r="B16" s="21" t="str">
        <x:v>A15</x:v>
      </x:c>
      <x:c r="C16" s="21" t="str">
        <x:v>Y</x:v>
      </x:c>
      <x:c r="D16" s="21" t="str">
        <x:v>영양/NPO</x:v>
      </x:c>
      <x:c r="E16" s="21" t="str">
        <x:v>NPO 처방인데 물컵·간식·약컵이 침상 옆에 있음.</x:v>
      </x:c>
      <x:c r="F16" s="21" t="str">
        <x:v>흡인, 검사/수술 지연 위험.</x:v>
      </x:c>
      <x:c r="G16" s="21" t="str">
        <x:v>NPO 표식 부착, 음식물 제거, 구강간호 대안 제공.</x:v>
      </x:c>
      <x:c r="H16" s="21" t="n">
        <x:v>3</x:v>
      </x:c>
    </x:row>
    <x:row r="17">
      <x:c r="A17" s="21" t="str">
        <x:v>CASE A</x:v>
      </x:c>
      <x:c r="B17" s="21" t="str">
        <x:v>A16</x:v>
      </x:c>
      <x:c r="C17" s="21" t="str"/>
      <x:c r="D17" s="21" t="str">
        <x:v>VTE 예방</x:v>
      </x:c>
      <x:c r="E17" s="21" t="str">
        <x:v>SCD가 적용되지 않았거나 전원이 빠져 있음.</x:v>
      </x:c>
      <x:c r="F17" s="21" t="str">
        <x:v>수술 후 심부정맥혈전 위험 증가.</x:v>
      </x:c>
      <x:c r="G17" s="21" t="str">
        <x:v>SCD 착용·전원 확인, 금기 여부 확인.</x:v>
      </x:c>
      <x:c r="H17" s="21" t="n">
        <x:v>1</x:v>
      </x:c>
    </x:row>
    <x:row r="18">
      <x:c r="A18" s="21" t="str">
        <x:v>CASE A</x:v>
      </x:c>
      <x:c r="B18" s="21" t="str">
        <x:v>A17</x:v>
      </x:c>
      <x:c r="C18" s="21" t="str"/>
      <x:c r="D18" s="21" t="str">
        <x:v>호흡운동</x:v>
      </x:c>
      <x:c r="E18" s="21" t="str">
        <x:v>incentive spirometer가 바닥에 있거나 사용 교육 흔적이 없음.</x:v>
      </x:c>
      <x:c r="F18" s="21" t="str">
        <x:v>무기폐·폐렴 예방 기회 상실.</x:v>
      </x:c>
      <x:c r="G18" s="21" t="str">
        <x:v>기구 청결 확인 후 사용법 교육과 수행 격려.</x:v>
      </x:c>
      <x:c r="H18" s="21" t="n">
        <x:v>1</x:v>
      </x:c>
    </x:row>
    <x:row r="19">
      <x:c r="A19" s="21" t="str">
        <x:v>CASE A</x:v>
      </x:c>
      <x:c r="B19" s="21" t="str">
        <x:v>A18</x:v>
      </x:c>
      <x:c r="C19" s="21" t="str"/>
      <x:c r="D19" s="21" t="str">
        <x:v>감염/안전</x:v>
      </x:c>
      <x:c r="E19" s="21" t="str">
        <x:v>주사바늘, 오염 거즈 또는 손소독제 빈 용기가 방치됨.</x:v>
      </x:c>
      <x:c r="F19" s="21" t="str">
        <x:v>자상·교차감염·환경오염 위험.</x:v>
      </x:c>
      <x:c r="G19" s="21" t="str">
        <x:v>날카로운 물품 폐기, 폐기물 정리, 손위생 물품 보충.</x:v>
      </x:c>
      <x:c r="H19" s="21" t="n">
        <x:v>2</x:v>
      </x:c>
    </x:row>
    <x:row r="20">
      <x:c r="A20" s="21" t="str">
        <x:v>CASE B</x:v>
      </x:c>
      <x:c r="B20" s="21" t="str">
        <x:v>B01</x:v>
      </x:c>
      <x:c r="C20" s="21" t="str">
        <x:v>Y</x:v>
      </x:c>
      <x:c r="D20" s="21" t="str">
        <x:v>환자확인/검체</x:v>
      </x:c>
      <x:c r="E20" s="21" t="str">
        <x:v>채혈 튜브 또는 배양병 라벨 이름이 환자 팔찌와 다름.</x:v>
      </x:c>
      <x:c r="F20" s="21" t="str">
        <x:v>검체 뒤바뀜과 부적절한 치료 위험.</x:v>
      </x:c>
      <x:c r="G20" s="21" t="str">
        <x:v>침상 옆 라벨링 원칙 적용, 라벨 폐기 후 재채혈/재라벨 절차 확인.</x:v>
      </x:c>
      <x:c r="H20" s="21" t="n">
        <x:v>3</x:v>
      </x:c>
    </x:row>
    <x:row r="21">
      <x:c r="A21" s="21" t="str">
        <x:v>CASE B</x:v>
      </x:c>
      <x:c r="B21" s="21" t="str">
        <x:v>B02</x:v>
      </x:c>
      <x:c r="C21" s="21" t="str">
        <x:v>Y</x:v>
      </x:c>
      <x:c r="D21" s="21" t="str">
        <x:v>산소요법</x:v>
      </x:c>
      <x:c r="E21" s="21" t="str">
        <x:v>처방은 O2 3 L/min이나 flowmeter가 0 L/min이거나 tubing이 벽산소에 연결되어 있지 않음.</x:v>
      </x:c>
      <x:c r="F21" s="21" t="str">
        <x:v>저산소증과 호흡부전 악화.</x:v>
      </x:c>
      <x:c r="G21" s="21" t="str">
        <x:v>산소 연결·유량 확인, SpO2 재측정, 호흡곤란 시 즉시 보고.</x:v>
      </x:c>
      <x:c r="H21" s="21" t="n">
        <x:v>3</x:v>
      </x:c>
    </x:row>
    <x:row r="22">
      <x:c r="A22" s="21" t="str">
        <x:v>CASE B</x:v>
      </x:c>
      <x:c r="B22" s="21" t="str">
        <x:v>B03</x:v>
      </x:c>
      <x:c r="C22" s="21" t="str"/>
      <x:c r="D22" s="21" t="str">
        <x:v>모니터링</x:v>
      </x:c>
      <x:c r="E22" s="21" t="str">
        <x:v>SpO2 probe가 빠져 있거나 알람이 음소거되어 있음.</x:v>
      </x:c>
      <x:c r="F22" s="21" t="str">
        <x:v>악화 징후를 놓칠 위험.</x:v>
      </x:c>
      <x:c r="G22" s="21" t="str">
        <x:v>probe 재부착, 알람범위 확인, 지속 모니터링.</x:v>
      </x:c>
      <x:c r="H22" s="21" t="n">
        <x:v>2</x:v>
      </x:c>
    </x:row>
    <x:row r="23">
      <x:c r="A23" s="21" t="str">
        <x:v>CASE B</x:v>
      </x:c>
      <x:c r="B23" s="21" t="str">
        <x:v>B04</x:v>
      </x:c>
      <x:c r="C23" s="21" t="str"/>
      <x:c r="D23" s="21" t="str">
        <x:v>감염주의</x:v>
      </x:c>
      <x:c r="E23" s="21" t="str">
        <x:v>비말주의 표식이 없거나 PPE 카트에 마스크/가운이 없음.</x:v>
      </x:c>
      <x:c r="F23" s="21" t="str">
        <x:v>교차감염과 노출 위험.</x:v>
      </x:c>
      <x:c r="G23" s="21" t="str">
        <x:v>격리표식 부착, PPE 준비, 출입자 교육.</x:v>
      </x:c>
      <x:c r="H23" s="21" t="n">
        <x:v>2</x:v>
      </x:c>
    </x:row>
    <x:row r="24">
      <x:c r="A24" s="21" t="str">
        <x:v>CASE B</x:v>
      </x:c>
      <x:c r="B24" s="21" t="str">
        <x:v>B05</x:v>
      </x:c>
      <x:c r="C24" s="21" t="str"/>
      <x:c r="D24" s="21" t="str">
        <x:v>감염주의</x:v>
      </x:c>
      <x:c r="E24" s="21" t="str">
        <x:v>공용 청진기가 병실 안 침상 위에 오염된 상태로 놓임.</x:v>
      </x:c>
      <x:c r="F24" s="21" t="str">
        <x:v>의료기구 매개 전파 위험.</x:v>
      </x:c>
      <x:c r="G24" s="21" t="str">
        <x:v>전용기구 사용 또는 사용 전후 소독.</x:v>
      </x:c>
      <x:c r="H24" s="21" t="n">
        <x:v>1</x:v>
      </x:c>
    </x:row>
    <x:row r="25">
      <x:c r="A25" s="21" t="str">
        <x:v>CASE B</x:v>
      </x:c>
      <x:c r="B25" s="21" t="str">
        <x:v>B06</x:v>
      </x:c>
      <x:c r="C25" s="21" t="str"/>
      <x:c r="D25" s="21" t="str">
        <x:v>검체관리</x:v>
      </x:c>
      <x:c r="E25" s="21" t="str">
        <x:v>객담컵이 열린 채 침상 테이블에 놓여 있음.</x:v>
      </x:c>
      <x:c r="F25" s="21" t="str">
        <x:v>검체 오염 및 비말 노출 위험.</x:v>
      </x:c>
      <x:c r="G25" s="21" t="str">
        <x:v>뚜껑 닫기, 라벨 확인, 적절한 운반용기 사용.</x:v>
      </x:c>
      <x:c r="H25" s="21" t="n">
        <x:v>1</x:v>
      </x:c>
    </x:row>
    <x:row r="26">
      <x:c r="A26" s="21" t="str">
        <x:v>CASE B</x:v>
      </x:c>
      <x:c r="B26" s="21" t="str">
        <x:v>B07</x:v>
      </x:c>
      <x:c r="C26" s="21" t="str">
        <x:v>Y</x:v>
      </x:c>
      <x:c r="D26" s="21" t="str">
        <x:v>혈액배양</x:v>
      </x:c>
      <x:c r="E26" s="21" t="str">
        <x:v>혈액배양 bottle에 채혈 시간·부위가 없거나 2세트 구분이 안 됨.</x:v>
      </x:c>
      <x:c r="F26" s="21" t="str">
        <x:v>오염/균혈증 판단 오류.</x:v>
      </x:c>
      <x:c r="G26" s="21" t="str">
        <x:v>두 부위·두 세트 원칙, 시간·부위 표기, 무균술 확인.</x:v>
      </x:c>
      <x:c r="H26" s="21" t="n">
        <x:v>3</x:v>
      </x:c>
    </x:row>
    <x:row r="27">
      <x:c r="A27" s="21" t="str">
        <x:v>CASE B</x:v>
      </x:c>
      <x:c r="B27" s="21" t="str">
        <x:v>B08</x:v>
      </x:c>
      <x:c r="C27" s="21" t="str">
        <x:v>Y</x:v>
      </x:c>
      <x:c r="D27" s="21" t="str">
        <x:v>항생제 순서</x:v>
      </x:c>
      <x:c r="E27" s="21" t="str">
        <x:v>항생제가 이미 연결되어 있으나 혈액배양 bottle은 비어 있음.</x:v>
      </x:c>
      <x:c r="F27" s="21" t="str">
        <x:v>원인균 확인 실패와 항생제 선택 오류.</x:v>
      </x:c>
      <x:c r="G27" s="21" t="str">
        <x:v>가능하면 배양 채취 후 항생제 시작, 지연 사유는 보고·기록.</x:v>
      </x:c>
      <x:c r="H27" s="21" t="n">
        <x:v>3</x:v>
      </x:c>
    </x:row>
    <x:row r="28">
      <x:c r="A28" s="21" t="str">
        <x:v>CASE B</x:v>
      </x:c>
      <x:c r="B28" s="21" t="str">
        <x:v>B09</x:v>
      </x:c>
      <x:c r="C28" s="21" t="str">
        <x:v>Y</x:v>
      </x:c>
      <x:c r="D28" s="21" t="str">
        <x:v>투약</x:v>
      </x:c>
      <x:c r="E28" s="21" t="str">
        <x:v>항생제 약품명 또는 용량이 처방/MAR와 다름.</x:v>
      </x:c>
      <x:c r="F28" s="21" t="str">
        <x:v>치료 실패, 알레르기, 부작용 위험.</x:v>
      </x:c>
      <x:c r="G28" s="21" t="str">
        <x:v>5 rights 확인, 의심 시 투약 보류 및 처방 확인.</x:v>
      </x:c>
      <x:c r="H28" s="21" t="n">
        <x:v>3</x:v>
      </x:c>
    </x:row>
    <x:row r="29">
      <x:c r="A29" s="21" t="str">
        <x:v>CASE B</x:v>
      </x:c>
      <x:c r="B29" s="21" t="str">
        <x:v>B10</x:v>
      </x:c>
      <x:c r="C29" s="21" t="str"/>
      <x:c r="D29" s="21" t="str">
        <x:v>수액관리</x:v>
      </x:c>
      <x:c r="E29" s="21" t="str">
        <x:v>IV pump 속도가 처방과 다르거나 bolus 완료 후 유지속도 변경이 안 됨.</x:v>
      </x:c>
      <x:c r="F29" s="21" t="str">
        <x:v>저혈압 교정 실패 또는 과수액 위험.</x:v>
      </x:c>
      <x:c r="G29" s="21" t="str">
        <x:v>처방·펌프·수액라벨 대조 후 수정.</x:v>
      </x:c>
      <x:c r="H29" s="21" t="n">
        <x:v>2</x:v>
      </x:c>
    </x:row>
    <x:row r="30">
      <x:c r="A30" s="21" t="str">
        <x:v>CASE B</x:v>
      </x:c>
      <x:c r="B30" s="21" t="str">
        <x:v>B11</x:v>
      </x:c>
      <x:c r="C30" s="21" t="str"/>
      <x:c r="D30" s="21" t="str">
        <x:v>패혈증 사정</x:v>
      </x:c>
      <x:c r="E30" s="21" t="str">
        <x:v>lactate 채혈 또는 패혈증 선별 점수 기록이 누락됨.</x:v>
      </x:c>
      <x:c r="F30" s="21" t="str">
        <x:v>패혈증 치료 지연.</x:v>
      </x:c>
      <x:c r="G30" s="21" t="str">
        <x:v>기관 프로토콜에 따라 lactate/NEWS/qSOFA 등 재확인·보고.</x:v>
      </x:c>
      <x:c r="H30" s="21" t="n">
        <x:v>2</x:v>
      </x:c>
    </x:row>
    <x:row r="31">
      <x:c r="A31" s="21" t="str">
        <x:v>CASE B</x:v>
      </x:c>
      <x:c r="B31" s="21" t="str">
        <x:v>B12</x:v>
      </x:c>
      <x:c r="C31" s="21" t="str"/>
      <x:c r="D31" s="21" t="str">
        <x:v>체온/안위</x:v>
      </x:c>
      <x:c r="E31" s="21" t="str">
        <x:v>젖은 환의와 침구가 그대로 있고 체온 재측정 기록이 없음.</x:v>
      </x:c>
      <x:c r="F31" s="21" t="str">
        <x:v>피부손상·불편감·상태변화 파악 지연.</x:v>
      </x:c>
      <x:c r="G31" s="21" t="str">
        <x:v>환의 교환, 체온 재평가, 오한·발열 간호.</x:v>
      </x:c>
      <x:c r="H31" s="21" t="n">
        <x:v>1</x:v>
      </x:c>
    </x:row>
    <x:row r="32">
      <x:c r="A32" s="21" t="str">
        <x:v>CASE B</x:v>
      </x:c>
      <x:c r="B32" s="21" t="str">
        <x:v>B13</x:v>
      </x:c>
      <x:c r="C32" s="21" t="str"/>
      <x:c r="D32" s="21" t="str">
        <x:v>호흡자세</x:v>
      </x:c>
      <x:c r="E32" s="21" t="str">
        <x:v>호흡곤란 환자가 낮은 자세 또는 완전 앙와위에 가까움.</x:v>
      </x:c>
      <x:c r="F32" s="21" t="str">
        <x:v>환기 저하와 호흡곤란 악화.</x:v>
      </x:c>
      <x:c r="G32" s="21" t="str">
        <x:v>반좌위 적용, 호흡 양상 재사정.</x:v>
      </x:c>
      <x:c r="H32" s="21" t="n">
        <x:v>2</x:v>
      </x:c>
    </x:row>
    <x:row r="33">
      <x:c r="A33" s="21" t="str">
        <x:v>CASE B</x:v>
      </x:c>
      <x:c r="B33" s="21" t="str">
        <x:v>B14</x:v>
      </x:c>
      <x:c r="C33" s="21" t="str"/>
      <x:c r="D33" s="21" t="str">
        <x:v>흡인위험</x:v>
      </x:c>
      <x:c r="E33" s="21" t="str">
        <x:v>기침이 심한데 물컵·빨대가 환자 옆에 있고 삼킴 상태 확인이 없음.</x:v>
      </x:c>
      <x:c r="F33" s="21" t="str">
        <x:v>흡인과 폐렴 악화 위험.</x:v>
      </x:c>
      <x:c r="G33" s="21" t="str">
        <x:v>섭취 가능 여부 확인, 필요 시 연하 사정 요청.</x:v>
      </x:c>
      <x:c r="H33" s="21" t="n">
        <x:v>1</x:v>
      </x:c>
    </x:row>
    <x:row r="34">
      <x:c r="A34" s="21" t="str">
        <x:v>CASE B</x:v>
      </x:c>
      <x:c r="B34" s="21" t="str">
        <x:v>B15</x:v>
      </x:c>
      <x:c r="C34" s="21" t="str"/>
      <x:c r="D34" s="21" t="str">
        <x:v>낙상/환경</x:v>
      </x:c>
      <x:c r="E34" s="21" t="str">
        <x:v>고열·저혈압 상태인데 침상 높고 호출벨이 멀리 있음.</x:v>
      </x:c>
      <x:c r="F34" s="21" t="str">
        <x:v>어지러움으로 인한 낙상 위험.</x:v>
      </x:c>
      <x:c r="G34" s="21" t="str">
        <x:v>낮은 침상, 호출벨, 보호자/간호사 도움 요청 교육.</x:v>
      </x:c>
      <x:c r="H34" s="21" t="n">
        <x:v>2</x:v>
      </x:c>
    </x:row>
    <x:row r="35">
      <x:c r="A35" s="21" t="str">
        <x:v>CASE B</x:v>
      </x:c>
      <x:c r="B35" s="21" t="str">
        <x:v>B16</x:v>
      </x:c>
      <x:c r="C35" s="21" t="str"/>
      <x:c r="D35" s="21" t="str">
        <x:v>I/O</x:v>
      </x:c>
      <x:c r="E35" s="21" t="str">
        <x:v>소변량 기록지가 비어 있고 소변 측정 용기가 없음.</x:v>
      </x:c>
      <x:c r="F35" s="21" t="str">
        <x:v>패혈증 악화와 신장관류 저하 파악 지연.</x:v>
      </x:c>
      <x:c r="G35" s="21" t="str">
        <x:v>I/O 기록 시작, 배뇨량 확인, 저소변 시 보고.</x:v>
      </x:c>
      <x:c r="H35" s="21" t="n">
        <x:v>2</x:v>
      </x:c>
    </x:row>
    <x:row r="36">
      <x:c r="A36" s="21" t="str">
        <x:v>CASE B</x:v>
      </x:c>
      <x:c r="B36" s="21" t="str">
        <x:v>B17</x:v>
      </x:c>
      <x:c r="C36" s="21" t="str"/>
      <x:c r="D36" s="21" t="str">
        <x:v>IV 감염관리</x:v>
      </x:c>
      <x:c r="E36" s="21" t="str">
        <x:v>IV tubing 날짜가 지났거나 라벨이 없음.</x:v>
      </x:c>
      <x:c r="F36" s="21" t="str">
        <x:v>라인 관련 감염 위험.</x:v>
      </x:c>
      <x:c r="G36" s="21" t="str">
        <x:v>기관 지침에 따라 tubing 교체·라벨링.</x:v>
      </x:c>
      <x:c r="H36" s="21" t="n">
        <x:v>1</x:v>
      </x:c>
    </x:row>
    <x:row r="37">
      <x:c r="A37" s="21" t="str">
        <x:v>CASE B</x:v>
      </x:c>
      <x:c r="B37" s="21" t="str">
        <x:v>B18</x:v>
      </x:c>
      <x:c r="C37" s="21" t="str"/>
      <x:c r="D37" s="21" t="str">
        <x:v>날카로운 물품</x:v>
      </x:c>
      <x:c r="E37" s="21" t="str">
        <x:v>sharp box가 과충전되어 있거나 바늘이 일반쓰레기에 있음.</x:v>
      </x:c>
      <x:c r="F37" s="21" t="str">
        <x:v>자상 및 감염 노출 위험.</x:v>
      </x:c>
      <x:c r="G37" s="21" t="str">
        <x:v>sharp box 교체, 즉시 안전폐기, 노출 예방교육.</x:v>
      </x:c>
      <x:c r="H37" s="21" t="n">
        <x:v>2</x:v>
      </x:c>
    </x:row>
    <x:row r="38">
      <x:c r="A38" s="21" t="str">
        <x:v>CASE C</x:v>
      </x:c>
      <x:c r="B38" s="21" t="str">
        <x:v>C01</x:v>
      </x:c>
      <x:c r="C38" s="21" t="str">
        <x:v>Y</x:v>
      </x:c>
      <x:c r="D38" s="21" t="str">
        <x:v>연하/흡인</x:v>
      </x:c>
      <x:c r="E38" s="21" t="str">
        <x:v>연하 선별검사 미완료/NPO인데 물컵·빨대·간식이 제공되어 있음.</x:v>
      </x:c>
      <x:c r="F38" s="21" t="str">
        <x:v>흡인성 폐렴과 질식 위험.</x:v>
      </x:c>
      <x:c r="G38" s="21" t="str">
        <x:v>섭취 중지, NPO 표식, 연하 선별 후 식이 결정.</x:v>
      </x:c>
      <x:c r="H38" s="21" t="n">
        <x:v>3</x:v>
      </x:c>
    </x:row>
    <x:row r="39">
      <x:c r="A39" s="21" t="str">
        <x:v>CASE C</x:v>
      </x:c>
      <x:c r="B39" s="21" t="str">
        <x:v>C02</x:v>
      </x:c>
      <x:c r="C39" s="21" t="str">
        <x:v>Y</x:v>
      </x:c>
      <x:c r="D39" s="21" t="str">
        <x:v>체위/흡인</x:v>
      </x:c>
      <x:c r="E39" s="21" t="str">
        <x:v>침상 머리가 낮고 흡인기 또는 산소 준비가 되어 있지 않음.</x:v>
      </x:c>
      <x:c r="F39" s="21" t="str">
        <x:v>흡인 발생 시 대응 지연.</x:v>
      </x:c>
      <x:c r="G39" s="21" t="str">
        <x:v>HOB 30도 이상, suction/oxygen 작동 확인.</x:v>
      </x:c>
      <x:c r="H39" s="21" t="n">
        <x:v>3</x:v>
      </x:c>
    </x:row>
    <x:row r="40">
      <x:c r="A40" s="21" t="str">
        <x:v>CASE C</x:v>
      </x:c>
      <x:c r="B40" s="21" t="str">
        <x:v>C03</x:v>
      </x:c>
      <x:c r="C40" s="21" t="str">
        <x:v>Y</x:v>
      </x:c>
      <x:c r="D40" s="21" t="str">
        <x:v>임상악화</x:v>
      </x:c>
      <x:c r="E40" s="21" t="str">
        <x:v>신경학적 사정 시간이 4시간 이상 지났고 보호자가 악화를 말했으나 보고 기록이 없음.</x:v>
      </x:c>
      <x:c r="F40" s="21" t="str">
        <x:v>뇌졸중 진행·출혈전환 등 악화 발견 지연.</x:v>
      </x:c>
      <x:c r="G40" s="21" t="str">
        <x:v>FAST/NIHSS 기준으로 재사정, 즉시 보고, 필요 시 신속대응.</x:v>
      </x:c>
      <x:c r="H40" s="21" t="n">
        <x:v>3</x:v>
      </x:c>
    </x:row>
    <x:row r="41">
      <x:c r="A41" s="21" t="str">
        <x:v>CASE C</x:v>
      </x:c>
      <x:c r="B41" s="21" t="str">
        <x:v>C04</x:v>
      </x:c>
      <x:c r="C41" s="21" t="str"/>
      <x:c r="D41" s="21" t="str">
        <x:v>모니터링</x:v>
      </x:c>
      <x:c r="E41" s="21" t="str">
        <x:v>BP cuff가 빠져 있거나 활력징후 알람이 꺼져 있음.</x:v>
      </x:c>
      <x:c r="F41" s="21" t="str">
        <x:v>고혈압/악화 징후 파악 실패.</x:v>
      </x:c>
      <x:c r="G41" s="21" t="str">
        <x:v>BP·SpO2 재연결, 알람범위 설정, 기록.</x:v>
      </x:c>
      <x:c r="H41" s="21" t="n">
        <x:v>2</x:v>
      </x:c>
    </x:row>
    <x:row r="42">
      <x:c r="A42" s="21" t="str">
        <x:v>CASE C</x:v>
      </x:c>
      <x:c r="B42" s="21" t="str">
        <x:v>C05</x:v>
      </x:c>
      <x:c r="C42" s="21" t="str"/>
      <x:c r="D42" s="21" t="str">
        <x:v>환자확인</x:v>
      </x:c>
      <x:c r="E42" s="21" t="str">
        <x:v>팔찌 정보와 차트/침상 카드가 일치하지 않음.</x:v>
      </x:c>
      <x:c r="F42" s="21" t="str">
        <x:v>검사·투약·처치 오류 가능.</x:v>
      </x:c>
      <x:c r="G42" s="21" t="str">
        <x:v>두 가지 식별자로 확인하고 오류 수정.</x:v>
      </x:c>
      <x:c r="H42" s="21" t="n">
        <x:v>2</x:v>
      </x:c>
    </x:row>
    <x:row r="43">
      <x:c r="A43" s="21" t="str">
        <x:v>CASE C</x:v>
      </x:c>
      <x:c r="B43" s="21" t="str">
        <x:v>C06</x:v>
      </x:c>
      <x:c r="C43" s="21" t="str"/>
      <x:c r="D43" s="21" t="str">
        <x:v>호출벨</x:v>
      </x:c>
      <x:c r="E43" s="21" t="str">
        <x:v>호출벨이 마비측 손 옆 또는 손이 닿지 않는 곳에 있음.</x:v>
      </x:c>
      <x:c r="F43" s="21" t="str">
        <x:v>도움 요청 실패와 낙상 위험.</x:v>
      </x:c>
      <x:c r="G43" s="21" t="str">
        <x:v>비마비측 손이 닿는 위치로 이동.</x:v>
      </x:c>
      <x:c r="H43" s="21" t="n">
        <x:v>1</x:v>
      </x:c>
    </x:row>
    <x:row r="44">
      <x:c r="A44" s="21" t="str">
        <x:v>CASE C</x:v>
      </x:c>
      <x:c r="B44" s="21" t="str">
        <x:v>C07</x:v>
      </x:c>
      <x:c r="C44" s="21" t="str">
        <x:v>Y</x:v>
      </x:c>
      <x:c r="D44" s="21" t="str">
        <x:v>낙상/환경</x:v>
      </x:c>
      <x:c r="E44" s="21" t="str">
        <x:v>침상 브레이크가 풀려 있고 바닥에 물기가 있거나 전선이 지나감.</x:v>
      </x:c>
      <x:c r="F44" s="21" t="str">
        <x:v>편마비·고령 환자의 중증 낙상 위험.</x:v>
      </x:c>
      <x:c r="G44" s="21" t="str">
        <x:v>브레이크 잠금, 바닥 정리, 낙상주의 강화.</x:v>
      </x:c>
      <x:c r="H44" s="21" t="n">
        <x:v>3</x:v>
      </x:c>
    </x:row>
    <x:row r="45">
      <x:c r="A45" s="21" t="str">
        <x:v>CASE C</x:v>
      </x:c>
      <x:c r="B45" s="21" t="str">
        <x:v>C08</x:v>
      </x:c>
      <x:c r="C45" s="21" t="str"/>
      <x:c r="D45" s="21" t="str">
        <x:v>체위/피부</x:v>
      </x:c>
      <x:c r="E45" s="21" t="str">
        <x:v>마비측 팔이 침상 밖으로 처져 있거나 어깨 지지가 없음.</x:v>
      </x:c>
      <x:c r="F45" s="21" t="str">
        <x:v>어깨 아탈구, 부종, 피부손상 위험.</x:v>
      </x:c>
      <x:c r="G45" s="21" t="str">
        <x:v>베개로 지지, 정렬 유지, 피부·순환 사정.</x:v>
      </x:c>
      <x:c r="H45" s="21" t="n">
        <x:v>1</x:v>
      </x:c>
    </x:row>
    <x:row r="46">
      <x:c r="A46" s="21" t="str">
        <x:v>CASE C</x:v>
      </x:c>
      <x:c r="B46" s="21" t="str">
        <x:v>C09</x:v>
      </x:c>
      <x:c r="C46" s="21" t="str"/>
      <x:c r="D46" s="21" t="str">
        <x:v>이동보조</x:v>
      </x:c>
      <x:c r="E46" s="21" t="str">
        <x:v>휠체어 브레이크가 잠기지 않았거나 footrest가 정리되지 않음.</x:v>
      </x:c>
      <x:c r="F46" s="21" t="str">
        <x:v>이동 중 낙상·끼임 위험.</x:v>
      </x:c>
      <x:c r="G46" s="21" t="str">
        <x:v>브레이크 잠금, footrest 정리, 이동 전 체크.</x:v>
      </x:c>
      <x:c r="H46" s="21" t="n">
        <x:v>2</x:v>
      </x:c>
    </x:row>
    <x:row r="47">
      <x:c r="A47" s="21" t="str">
        <x:v>CASE C</x:v>
      </x:c>
      <x:c r="B47" s="21" t="str">
        <x:v>C10</x:v>
      </x:c>
      <x:c r="C47" s="21" t="str"/>
      <x:c r="D47" s="21" t="str">
        <x:v>이동보조</x:v>
      </x:c>
      <x:c r="E47" s="21" t="str">
        <x:v>gait belt 또는 2인 보조 계획 없이 보행기만 놓여 있음.</x:v>
      </x:c>
      <x:c r="F47" s="21" t="str">
        <x:v>부적절한 이동으로 낙상 위험.</x:v>
      </x:c>
      <x:c r="G47" s="21" t="str">
        <x:v>이동 보조 계획 확인, 2인 보조·gait belt 준비.</x:v>
      </x:c>
      <x:c r="H47" s="21" t="n">
        <x:v>2</x:v>
      </x:c>
    </x:row>
    <x:row r="48">
      <x:c r="A48" s="21" t="str">
        <x:v>CASE C</x:v>
      </x:c>
      <x:c r="B48" s="21" t="str">
        <x:v>C11</x:v>
      </x:c>
      <x:c r="C48" s="21" t="str">
        <x:v>Y</x:v>
      </x:c>
      <x:c r="D48" s="21" t="str">
        <x:v>투약/연하</x:v>
      </x:c>
      <x:c r="E48" s="21" t="str">
        <x:v>알약 또는 갈아둔 약이 침상 옆에 있고 투약 경로 확인이 안 됨.</x:v>
      </x:c>
      <x:c r="F48" s="21" t="str">
        <x:v>흡인·오투약 위험.</x:v>
      </x:c>
      <x:c r="G48" s="21" t="str">
        <x:v>연하 평가 전 경구투약 보류, 처방 경로 확인.</x:v>
      </x:c>
      <x:c r="H48" s="21" t="n">
        <x:v>3</x:v>
      </x:c>
    </x:row>
    <x:row r="49">
      <x:c r="A49" s="21" t="str">
        <x:v>CASE C</x:v>
      </x:c>
      <x:c r="B49" s="21" t="str">
        <x:v>C12</x:v>
      </x:c>
      <x:c r="C49" s="21" t="str"/>
      <x:c r="D49" s="21" t="str">
        <x:v>산소/흡인</x:v>
      </x:c>
      <x:c r="E49" s="21" t="str">
        <x:v>suction canister 연결이 안 되었거나 산소 튜브가 누락됨.</x:v>
      </x:c>
      <x:c r="F49" s="21" t="str">
        <x:v>분비물·흡인 상황 대응 지연.</x:v>
      </x:c>
      <x:c r="G49" s="21" t="str">
        <x:v>흡인기 압력·연결 확인, 산소 장비 준비.</x:v>
      </x:c>
      <x:c r="H49" s="21" t="n">
        <x:v>2</x:v>
      </x:c>
    </x:row>
    <x:row r="50">
      <x:c r="A50" s="21" t="str">
        <x:v>CASE C</x:v>
      </x:c>
      <x:c r="B50" s="21" t="str">
        <x:v>C13</x:v>
      </x:c>
      <x:c r="C50" s="21" t="str"/>
      <x:c r="D50" s="21" t="str">
        <x:v>투약안전</x:v>
      </x:c>
      <x:c r="E50" s="21" t="str">
        <x:v>항응고/항혈소판 주사 모형이 라벨 없이 침상 위에 방치됨.</x:v>
      </x:c>
      <x:c r="F50" s="21" t="str">
        <x:v>오투약·중복투약 위험.</x:v>
      </x:c>
      <x:c r="G50" s="21" t="str">
        <x:v>약품 방치 금지, 처방·검사결과 확인 후 투약.</x:v>
      </x:c>
      <x:c r="H50" s="21" t="n">
        <x:v>2</x:v>
      </x:c>
    </x:row>
    <x:row r="51">
      <x:c r="A51" s="21" t="str">
        <x:v>CASE C</x:v>
      </x:c>
      <x:c r="B51" s="21" t="str">
        <x:v>C14</x:v>
      </x:c>
      <x:c r="C51" s="21" t="str"/>
      <x:c r="D51" s="21" t="str">
        <x:v>VTE 예방</x:v>
      </x:c>
      <x:c r="E51" s="21" t="str">
        <x:v>SCD가 한쪽만 적용되었거나 전원이 꺼져 있음.</x:v>
      </x:c>
      <x:c r="F51" s="21" t="str">
        <x:v>부동 환자의 혈전 위험.</x:v>
      </x:c>
      <x:c r="G51" s="21" t="str">
        <x:v>양측 적용 여부·전원 확인, 금기 확인.</x:v>
      </x:c>
      <x:c r="H51" s="21" t="n">
        <x:v>1</x:v>
      </x:c>
    </x:row>
    <x:row r="52">
      <x:c r="A52" s="21" t="str">
        <x:v>CASE C</x:v>
      </x:c>
      <x:c r="B52" s="21" t="str">
        <x:v>C15</x:v>
      </x:c>
      <x:c r="C52" s="21" t="str"/>
      <x:c r="D52" s="21" t="str">
        <x:v>IV 관리</x:v>
      </x:c>
      <x:c r="E52" s="21" t="str">
        <x:v>IV 삽입 부위가 부어 있고 수액 주입이 중단되어 있음.</x:v>
      </x:c>
      <x:c r="F52" s="21" t="str">
        <x:v>침윤·치료 지연 위험.</x:v>
      </x:c>
      <x:c r="G52" s="21" t="str">
        <x:v>삽입부 사정, 주입 중지, 재삽입/보고.</x:v>
      </x:c>
      <x:c r="H52" s="21" t="n">
        <x:v>2</x:v>
      </x:c>
    </x:row>
    <x:row r="53">
      <x:c r="A53" s="21" t="str">
        <x:v>CASE C</x:v>
      </x:c>
      <x:c r="B53" s="21" t="str">
        <x:v>C16</x:v>
      </x:c>
      <x:c r="C53" s="21" t="str"/>
      <x:c r="D53" s="21" t="str">
        <x:v>표식</x:v>
      </x:c>
      <x:c r="E53" s="21" t="str">
        <x:v>흡인주의 또는 낙상주의 표식이 없음.</x:v>
      </x:c>
      <x:c r="F53" s="21" t="str">
        <x:v>팀 간 위험정보 공유 실패.</x:v>
      </x:c>
      <x:c r="G53" s="21" t="str">
        <x:v>위험 표식 부착, 인수인계에 포함.</x:v>
      </x:c>
      <x:c r="H53" s="21" t="n">
        <x:v>1</x:v>
      </x:c>
    </x:row>
    <x:row r="54">
      <x:c r="A54" s="21" t="str">
        <x:v>CASE C</x:v>
      </x:c>
      <x:c r="B54" s="21" t="str">
        <x:v>C17</x:v>
      </x:c>
      <x:c r="C54" s="21" t="str"/>
      <x:c r="D54" s="21" t="str">
        <x:v>피부/압박</x:v>
      </x:c>
      <x:c r="E54" s="21" t="str">
        <x:v>편마비측 발뒤꿈치가 침상에 직접 닿고 체위변경 기록이 없음.</x:v>
      </x:c>
      <x:c r="F54" s="21" t="str">
        <x:v>압박손상 위험.</x:v>
      </x:c>
      <x:c r="G54" s="21" t="str">
        <x:v>발뒤꿈치 부유, 체위변경 일정 적용.</x:v>
      </x:c>
      <x:c r="H54" s="21" t="n">
        <x:v>1</x:v>
      </x:c>
    </x:row>
    <x:row r="55">
      <x:c r="A55" s="21" t="str">
        <x:v>CASE C</x:v>
      </x:c>
      <x:c r="B55" s="21" t="str">
        <x:v>C18</x:v>
      </x:c>
      <x:c r="C55" s="21" t="str"/>
      <x:c r="D55" s="21" t="str">
        <x:v>가족교육</x:v>
      </x:c>
      <x:c r="E55" s="21" t="str">
        <x:v>보호자가 가져온 음식·한약/건강식품이 침상 옆에 있고 확인 기록이 없음.</x:v>
      </x:c>
      <x:c r="F55" s="21" t="str">
        <x:v>흡인·상호작용·금식 위반 위험.</x:v>
      </x:c>
      <x:c r="G55" s="21" t="str">
        <x:v>외부음식/약물 확인, 교육, 보관 또는 제거.</x:v>
      </x:c>
      <x:c r="H55" s="21" t="n">
        <x:v>2</x:v>
      </x:c>
    </x:row>
    <x:row r="56">
      <x:c r="A56" s="21" t="str">
        <x:v>CASE D</x:v>
      </x:c>
      <x:c r="B56" s="21" t="str">
        <x:v>D01</x:v>
      </x:c>
      <x:c r="C56" s="21" t="str">
        <x:v>Y</x:v>
      </x:c>
      <x:c r="D56" s="21" t="str">
        <x:v>투약/인슐린</x:v>
      </x:c>
      <x:c r="E56" s="21" t="str">
        <x:v>rapid-acting insulin이 준비되어 있으나 식사가 지연되었거나 NPO 상태임.</x:v>
      </x:c>
      <x:c r="F56" s="21" t="str">
        <x:v>저혈당 악화 위험.</x:v>
      </x:c>
      <x:c r="G56" s="21" t="str">
        <x:v>혈당·식사 여부 확인 전 투약 보류, 처방 확인·보고.</x:v>
      </x:c>
      <x:c r="H56" s="21" t="n">
        <x:v>3</x:v>
      </x:c>
    </x:row>
    <x:row r="57">
      <x:c r="A57" s="21" t="str">
        <x:v>CASE D</x:v>
      </x:c>
      <x:c r="B57" s="21" t="str">
        <x:v>D02</x:v>
      </x:c>
      <x:c r="C57" s="21" t="str">
        <x:v>Y</x:v>
      </x:c>
      <x:c r="D57" s="21" t="str">
        <x:v>저혈당</x:v>
      </x:c>
      <x:c r="E57" s="21" t="str">
        <x:v>혈당 58 mg/dL 기록이 있으나 저혈당 프로토콜이 시작되지 않음.</x:v>
      </x:c>
      <x:c r="F57" s="21" t="str">
        <x:v>의식저하·경련 등 중증 저혈당 위험.</x:v>
      </x:c>
      <x:c r="G57" s="21" t="str">
        <x:v>즉시 재측정, 의식상태 확인, 기관 프로토콜에 따라 처치·보고.</x:v>
      </x:c>
      <x:c r="H57" s="21" t="n">
        <x:v>3</x:v>
      </x:c>
    </x:row>
    <x:row r="58">
      <x:c r="A58" s="21" t="str">
        <x:v>CASE D</x:v>
      </x:c>
      <x:c r="B58" s="21" t="str">
        <x:v>D03</x:v>
      </x:c>
      <x:c r="C58" s="21" t="str">
        <x:v>Y</x:v>
      </x:c>
      <x:c r="D58" s="21" t="str">
        <x:v>인슐린 pen</x:v>
      </x:c>
      <x:c r="E58" s="21" t="str">
        <x:v>인슐린 pen에 환자 이름이 없고 공용처럼 카트 위에 있음.</x:v>
      </x:c>
      <x:c r="F58" s="21" t="str">
        <x:v>교차감염과 타환자 투여 위험.</x:v>
      </x:c>
      <x:c r="G58" s="21" t="str">
        <x:v>환자별 pen 원칙, 라벨링, 공용 사용 금지.</x:v>
      </x:c>
      <x:c r="H58" s="21" t="n">
        <x:v>3</x:v>
      </x:c>
    </x:row>
    <x:row r="59">
      <x:c r="A59" s="21" t="str">
        <x:v>CASE D</x:v>
      </x:c>
      <x:c r="B59" s="21" t="str">
        <x:v>D04</x:v>
      </x:c>
      <x:c r="C59" s="21" t="str">
        <x:v>Y</x:v>
      </x:c>
      <x:c r="D59" s="21" t="str">
        <x:v>고위험약물</x:v>
      </x:c>
      <x:c r="E59" s="21" t="str">
        <x:v>glargine과 lispro가 함께 놓여 있고 라벨이 흐리거나 비슷해 구분이 어려움.</x:v>
      </x:c>
      <x:c r="F59" s="21" t="str">
        <x:v>인슐린 종류 혼동으로 저/고혈당 위험.</x:v>
      </x:c>
      <x:c r="G59" s="21" t="str">
        <x:v>약품명·작용시간 대조, 별도 보관, 독립 이중확인.</x:v>
      </x:c>
      <x:c r="H59" s="21" t="n">
        <x:v>3</x:v>
      </x:c>
    </x:row>
    <x:row r="60">
      <x:c r="A60" s="21" t="str">
        <x:v>CASE D</x:v>
      </x:c>
      <x:c r="B60" s="21" t="str">
        <x:v>D05</x:v>
      </x:c>
      <x:c r="C60" s="21" t="str"/>
      <x:c r="D60" s="21" t="str">
        <x:v>처방/MAR</x:v>
      </x:c>
      <x:c r="E60" s="21" t="str">
        <x:v>sliding scale 처방과 MAR 투약량이 서로 다름.</x:v>
      </x:c>
      <x:c r="F60" s="21" t="str">
        <x:v>잘못된 용량 투여 위험.</x:v>
      </x:c>
      <x:c r="G60" s="21" t="str">
        <x:v>투약 전 처방 원본 확인, 불일치 시 보류·문의.</x:v>
      </x:c>
      <x:c r="H60" s="21" t="n">
        <x:v>2</x:v>
      </x:c>
    </x:row>
    <x:row r="61">
      <x:c r="A61" s="21" t="str">
        <x:v>CASE D</x:v>
      </x:c>
      <x:c r="B61" s="21" t="str">
        <x:v>D06</x:v>
      </x:c>
      <x:c r="C61" s="21" t="str"/>
      <x:c r="D61" s="21" t="str">
        <x:v>혈당측정</x:v>
      </x:c>
      <x:c r="E61" s="21" t="str">
        <x:v>시험지가 유효기간 지났거나 QC 실패 스티커가 붙어 있음.</x:v>
      </x:c>
      <x:c r="F61" s="21" t="str">
        <x:v>부정확한 혈당값으로 잘못된 처치.</x:v>
      </x:c>
      <x:c r="G61" s="21" t="str">
        <x:v>유효한 시험지·QC 확인 후 재측정.</x:v>
      </x:c>
      <x:c r="H61" s="21" t="n">
        <x:v>2</x:v>
      </x:c>
    </x:row>
    <x:row r="62">
      <x:c r="A62" s="21" t="str">
        <x:v>CASE D</x:v>
      </x:c>
      <x:c r="B62" s="21" t="str">
        <x:v>D07</x:v>
      </x:c>
      <x:c r="C62" s="21" t="str"/>
      <x:c r="D62" s="21" t="str">
        <x:v>약품보관</x:v>
      </x:c>
      <x:c r="E62" s="21" t="str">
        <x:v>개봉일 없는 인슐린이 고온 장소 또는 침상 옆에 방치됨.</x:v>
      </x:c>
      <x:c r="F62" s="21" t="str">
        <x:v>약효 저하와 투약 오류.</x:v>
      </x:c>
      <x:c r="G62" s="21" t="str">
        <x:v>개봉일·보관조건 확인, 부적절 시 폐기/교체.</x:v>
      </x:c>
      <x:c r="H62" s="21" t="n">
        <x:v>2</x:v>
      </x:c>
    </x:row>
    <x:row r="63">
      <x:c r="A63" s="21" t="str">
        <x:v>CASE D</x:v>
      </x:c>
      <x:c r="B63" s="21" t="str">
        <x:v>D08</x:v>
      </x:c>
      <x:c r="C63" s="21" t="str">
        <x:v>Y</x:v>
      </x:c>
      <x:c r="D63" s="21" t="str">
        <x:v>응급약품</x:v>
      </x:c>
      <x:c r="E63" s="21" t="str">
        <x:v>glucagon 또는 dextrose 모형이 유효기간 지났거나 위치를 알 수 없음.</x:v>
      </x:c>
      <x:c r="F63" s="21" t="str">
        <x:v>저혈당 응급대응 지연.</x:v>
      </x:c>
      <x:c r="G63" s="21" t="str">
        <x:v>응급약품 위치·유효기간 확인, 즉시 사용 가능하게 준비.</x:v>
      </x:c>
      <x:c r="H63" s="21" t="n">
        <x:v>3</x:v>
      </x:c>
    </x:row>
    <x:row r="64">
      <x:c r="A64" s="21" t="str">
        <x:v>CASE D</x:v>
      </x:c>
      <x:c r="B64" s="21" t="str">
        <x:v>D09</x:v>
      </x:c>
      <x:c r="C64" s="21" t="str"/>
      <x:c r="D64" s="21" t="str">
        <x:v>상처/감염</x:v>
      </x:c>
      <x:c r="E64" s="21" t="str">
        <x:v>당뇨발 드레싱이 젖어 있고 접촉주의/상처관리 물품이 준비되지 않음.</x:v>
      </x:c>
      <x:c r="F64" s="21" t="str">
        <x:v>감염 악화와 전파 위험.</x:v>
      </x:c>
      <x:c r="G64" s="21" t="str">
        <x:v>상처 사정, 드레싱 교환, 감염주의 적용, 보고.</x:v>
      </x:c>
      <x:c r="H64" s="21" t="n">
        <x:v>2</x:v>
      </x:c>
    </x:row>
    <x:row r="65">
      <x:c r="A65" s="21" t="str">
        <x:v>CASE D</x:v>
      </x:c>
      <x:c r="B65" s="21" t="str">
        <x:v>D10</x:v>
      </x:c>
      <x:c r="C65" s="21" t="str"/>
      <x:c r="D65" s="21" t="str">
        <x:v>날카로운 물품</x:v>
      </x:c>
      <x:c r="E65" s="21" t="str">
        <x:v>인슐린 주사바늘이 일반쓰레기 또는 테이블 위에 있음.</x:v>
      </x:c>
      <x:c r="F65" s="21" t="str">
        <x:v>자상·감염 노출 위험.</x:v>
      </x:c>
      <x:c r="G65" s="21" t="str">
        <x:v>즉시 sharp box 폐기, 재사용 금지 교육.</x:v>
      </x:c>
      <x:c r="H65" s="21" t="n">
        <x:v>2</x:v>
      </x:c>
    </x:row>
    <x:row r="66">
      <x:c r="A66" s="21" t="str">
        <x:v>CASE D</x:v>
      </x:c>
      <x:c r="B66" s="21" t="str">
        <x:v>D11</x:v>
      </x:c>
      <x:c r="C66" s="21" t="str"/>
      <x:c r="D66" s="21" t="str">
        <x:v>IV 관리</x:v>
      </x:c>
      <x:c r="E66" s="21" t="str">
        <x:v>정맥주사 부위가 붉고 라벨 날짜가 없음.</x:v>
      </x:c>
      <x:c r="F66" s="21" t="str">
        <x:v>정맥염·감염 위험.</x:v>
      </x:c>
      <x:c r="G66" s="21" t="str">
        <x:v>삽입부 사정, 필요 시 제거·재삽입, 라벨링.</x:v>
      </x:c>
      <x:c r="H66" s="21" t="n">
        <x:v>1</x:v>
      </x:c>
    </x:row>
    <x:row r="67">
      <x:c r="A67" s="21" t="str">
        <x:v>CASE D</x:v>
      </x:c>
      <x:c r="B67" s="21" t="str">
        <x:v>D12</x:v>
      </x:c>
      <x:c r="C67" s="21" t="str"/>
      <x:c r="D67" s="21" t="str">
        <x:v>항생제/펌프</x:v>
      </x:c>
      <x:c r="E67" s="21" t="str">
        <x:v>항생제 주입 펌프가 정지되어 있거나 처방 시간보다 늦게 걸려 있음.</x:v>
      </x:c>
      <x:c r="F67" s="21" t="str">
        <x:v>감염 치료 지연.</x:v>
      </x:c>
      <x:c r="G67" s="21" t="str">
        <x:v>펌프 재확인, 투약 지연 보고·기록.</x:v>
      </x:c>
      <x:c r="H67" s="21" t="n">
        <x:v>2</x:v>
      </x:c>
    </x:row>
    <x:row r="68">
      <x:c r="A68" s="21" t="str">
        <x:v>CASE D</x:v>
      </x:c>
      <x:c r="B68" s="21" t="str">
        <x:v>D13</x:v>
      </x:c>
      <x:c r="C68" s="21" t="str"/>
      <x:c r="D68" s="21" t="str">
        <x:v>환자확인/알레르기</x:v>
      </x:c>
      <x:c r="E68" s="21" t="str">
        <x:v>환자 팔찌 또는 알레르기 표식이 없음.</x:v>
      </x:c>
      <x:c r="F68" s="21" t="str">
        <x:v>투약·검사 오류 위험.</x:v>
      </x:c>
      <x:c r="G68" s="21" t="str">
        <x:v>두 가지 식별자와 알레르기 확인 후 표식 보완.</x:v>
      </x:c>
      <x:c r="H68" s="21" t="n">
        <x:v>2</x:v>
      </x:c>
    </x:row>
    <x:row r="69">
      <x:c r="A69" s="21" t="str">
        <x:v>CASE D</x:v>
      </x:c>
      <x:c r="B69" s="21" t="str">
        <x:v>D14</x:v>
      </x:c>
      <x:c r="C69" s="21" t="str"/>
      <x:c r="D69" s="21" t="str">
        <x:v>NPO/검사</x:v>
      </x:c>
      <x:c r="E69" s="21" t="str">
        <x:v>CT 전 NPO 지시가 있는데 식판·주스가 제공되어 있음.</x:v>
      </x:c>
      <x:c r="F69" s="21" t="str">
        <x:v>검사 지연, 흡인 위험. 단 저혈당 처치와 충돌 가능.</x:v>
      </x:c>
      <x:c r="G69" s="21" t="str">
        <x:v>NPO 목적 확인, 저혈당 시 프로토콜과 검사팀/의사에 보고하여 조정.</x:v>
      </x:c>
      <x:c r="H69" s="21" t="n">
        <x:v>2</x:v>
      </x:c>
    </x:row>
    <x:row r="70">
      <x:c r="A70" s="21" t="str">
        <x:v>CASE D</x:v>
      </x:c>
      <x:c r="B70" s="21" t="str">
        <x:v>D15</x:v>
      </x:c>
      <x:c r="C70" s="21" t="str"/>
      <x:c r="D70" s="21" t="str">
        <x:v>낙상/발관리</x:v>
      </x:c>
      <x:c r="E70" s="21" t="str">
        <x:v>환자가 맨발로 서 있거나 젖은 바닥·슬리퍼가 멀리 있음.</x:v>
      </x:c>
      <x:c r="F70" s="21" t="str">
        <x:v>저혈당·말초신경병증 환자의 낙상/발상처 위험.</x:v>
      </x:c>
      <x:c r="G70" s="21" t="str">
        <x:v>미끄럼방지 양말, 바닥 정리, 보행 보조.</x:v>
      </x:c>
      <x:c r="H70" s="21" t="n">
        <x:v>1</x:v>
      </x:c>
    </x:row>
    <x:row r="71">
      <x:c r="A71" s="21" t="str">
        <x:v>CASE D</x:v>
      </x:c>
      <x:c r="B71" s="21" t="str">
        <x:v>D16</x:v>
      </x:c>
      <x:c r="C71" s="21" t="str"/>
      <x:c r="D71" s="21" t="str">
        <x:v>문서/모니터링</x:v>
      </x:c>
      <x:c r="E71" s="21" t="str">
        <x:v>AC/HS 혈당 기록 일정이 비어 있거나 최근 재측정 시간이 없음.</x:v>
      </x:c>
      <x:c r="F71" s="21" t="str">
        <x:v>혈당 변동 인지 실패.</x:v>
      </x:c>
      <x:c r="G71" s="21" t="str">
        <x:v>혈당 측정 일정 재확인, 저혈당 후 재측정 기록.</x:v>
      </x:c>
      <x:c r="H71" s="21" t="n">
        <x:v>1</x:v>
      </x:c>
    </x:row>
    <x:row r="72">
      <x:c r="A72" s="21" t="str">
        <x:v>CASE D</x:v>
      </x:c>
      <x:c r="B72" s="21" t="str">
        <x:v>D17</x:v>
      </x:c>
      <x:c r="C72" s="21" t="str"/>
      <x:c r="D72" s="21" t="str">
        <x:v>약물검토</x:v>
      </x:c>
      <x:c r="E72" s="21" t="str">
        <x:v>신장기능 저하 단서가 있는데 metformin 또는 조영제 관련 확인 기록이 없음.</x:v>
      </x:c>
      <x:c r="F72" s="21" t="str">
        <x:v>검사 전후 약물안전 문제 가능.</x:v>
      </x:c>
      <x:c r="G72" s="21" t="str">
        <x:v>신장기능·조영제 계획·복용약 확인 후 보고/처방 확인.</x:v>
      </x:c>
      <x:c r="H72" s="21" t="n">
        <x:v>2</x:v>
      </x:c>
    </x:row>
    <x:row r="73">
      <x:c r="A73" s="21" t="str">
        <x:v>CASE D</x:v>
      </x:c>
      <x:c r="B73" s="21" t="str">
        <x:v>D18</x:v>
      </x:c>
      <x:c r="C73" s="21" t="str"/>
      <x:c r="D73" s="21" t="str">
        <x:v>환자교육</x:v>
      </x:c>
      <x:c r="E73" s="21" t="str">
        <x:v>자가주사 교육지가 비어 있고 주사부위 회전/저혈당 증상 교육 확인이 없음.</x:v>
      </x:c>
      <x:c r="F73" s="21" t="str">
        <x:v>퇴원 후 투약오류와 저혈당 반복 위험.</x:v>
      </x:c>
      <x:c r="G73" s="21" t="str">
        <x:v>teach-back으로 인슐린 종류·시간·저혈당 대응 교육.</x:v>
      </x:c>
      <x:c r="H73" s="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a77bb52ff764b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9" hidden="0" customWidth="1"/>
    <x:col min="23" max="23" width="9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5" hidden="0" customWidth="1"/>
  </x:cols>
  <x:sheetData>
    <x:row r="1">
      <x:c r="A1" s="5" t="str">
        <x:v>CASE A 채점표 - 수술 후 1일차: 장 절제술 환자의 낙상·출혈·마약성 진통제 안전</x:v>
      </x:c>
    </x:row>
    <x:row r="3">
      <x:c r="A3" s="14" t="str">
        <x:v>반</x:v>
      </x:c>
      <x:c r="B3" s="14" t="str">
        <x:v>조</x:v>
      </x:c>
      <x:c r="C3" s="14" t="str">
        <x:v>조원/메모</x:v>
      </x:c>
      <x:c r="D3" s="31" t="str">
        <x:v>A01</x:v>
      </x:c>
      <x:c r="E3" s="14" t="str">
        <x:v>A02</x:v>
      </x:c>
      <x:c r="F3" s="14" t="str">
        <x:v>A03</x:v>
      </x:c>
      <x:c r="G3" s="14" t="str">
        <x:v>A04</x:v>
      </x:c>
      <x:c r="H3" s="31" t="str">
        <x:v>A05</x:v>
      </x:c>
      <x:c r="I3" s="31" t="str">
        <x:v>A06</x:v>
      </x:c>
      <x:c r="J3" s="14" t="str">
        <x:v>A07</x:v>
      </x:c>
      <x:c r="K3" s="14" t="str">
        <x:v>A08</x:v>
      </x:c>
      <x:c r="L3" s="31" t="str">
        <x:v>A09</x:v>
      </x:c>
      <x:c r="M3" s="14" t="str">
        <x:v>A10</x:v>
      </x:c>
      <x:c r="N3" s="14" t="str">
        <x:v>A11</x:v>
      </x:c>
      <x:c r="O3" s="14" t="str">
        <x:v>A12</x:v>
      </x:c>
      <x:c r="P3" s="14" t="str">
        <x:v>A13</x:v>
      </x:c>
      <x:c r="Q3" s="14" t="str">
        <x:v>A14</x:v>
      </x:c>
      <x:c r="R3" s="31" t="str">
        <x:v>A15</x:v>
      </x:c>
      <x:c r="S3" s="14" t="str">
        <x:v>A16</x:v>
      </x:c>
      <x:c r="T3" s="14" t="str">
        <x:v>A17</x:v>
      </x:c>
      <x:c r="U3" s="14" t="str">
        <x:v>A18</x:v>
      </x:c>
      <x:c r="V3" s="14" t="str">
        <x:v>탐지수</x:v>
      </x:c>
      <x:c r="W3" s="14" t="str">
        <x:v>고위험수</x:v>
      </x:c>
      <x:c r="X3" s="14" t="str">
        <x:v>탐지점수(40)</x:v>
      </x:c>
      <x:c r="Y3" s="14" t="str">
        <x:v>고위험점수(15)</x:v>
      </x:c>
      <x:c r="Z3" s="14" t="str">
        <x:v>우선순위(15)</x:v>
      </x:c>
      <x:c r="AA3" s="14" t="str">
        <x:v>SBAR(15)</x:v>
      </x:c>
      <x:c r="AB3" s="14" t="str">
        <x:v>팀워크(10)</x:v>
      </x:c>
      <x:c r="AC3" s="14" t="str">
        <x:v>성찰(5)</x:v>
      </x:c>
      <x:c r="AD3" s="14" t="str">
        <x:v>총점</x:v>
      </x:c>
      <x:c r="AE3" s="14" t="str">
        <x:v>교수 피드백</x:v>
      </x:c>
    </x:row>
    <x:row r="4">
      <x:c r="A4" s="24" t="str">
        <x:v>1반</x:v>
      </x:c>
      <x:c r="B4" s="24" t="str">
        <x:v>1조</x:v>
      </x:c>
      <x:c r="C4" s="24" t="str"/>
      <x:c r="D4" s="27" t="n">
        <x:v>0</x:v>
      </x:c>
      <x:c r="E4" s="24" t="n">
        <x:v>0</x:v>
      </x:c>
      <x:c r="F4" s="24" t="n">
        <x:v>0</x:v>
      </x:c>
      <x:c r="G4" s="24" t="n">
        <x:v>0</x:v>
      </x:c>
      <x:c r="H4" s="27" t="n">
        <x:v>0</x:v>
      </x:c>
      <x:c r="I4" s="27" t="n">
        <x:v>0</x:v>
      </x:c>
      <x:c r="J4" s="24" t="n">
        <x:v>0</x:v>
      </x:c>
      <x:c r="K4" s="24" t="n">
        <x:v>0</x:v>
      </x:c>
      <x:c r="L4" s="27" t="n">
        <x:v>0</x:v>
      </x:c>
      <x:c r="M4" s="24" t="n">
        <x:v>0</x:v>
      </x:c>
      <x:c r="N4" s="24" t="n">
        <x:v>0</x:v>
      </x:c>
      <x:c r="O4" s="24" t="n">
        <x:v>0</x:v>
      </x:c>
      <x:c r="P4" s="24" t="n">
        <x:v>0</x:v>
      </x:c>
      <x:c r="Q4" s="24" t="n">
        <x:v>0</x:v>
      </x:c>
      <x:c r="R4" s="27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f>SUM(D4:U4)</x:f>
        <x:v>0</x:v>
      </x:c>
      <x:c r="W4" s="24" t="n">
        <x:f>SUM(D4,H4,I4,L4,R4)</x:f>
        <x:v>0</x:v>
      </x:c>
      <x:c r="X4" s="24" t="n">
        <x:f>ROUND(V4/18*40,1)</x:f>
        <x:v>0</x:v>
      </x:c>
      <x:c r="Y4" s="24" t="n">
        <x:f>ROUND(W4/5*15,1)</x:f>
        <x:v>0</x:v>
      </x:c>
      <x:c r="Z4" s="24" t="str"/>
      <x:c r="AA4" s="24" t="str"/>
      <x:c r="AB4" s="24" t="str"/>
      <x:c r="AC4" s="24" t="str"/>
      <x:c r="AD4" s="24" t="n">
        <x:f>SUM(X4:AC4)</x:f>
        <x:v>0</x:v>
      </x:c>
      <x:c r="AE4" s="24" t="str"/>
    </x:row>
    <x:row r="5">
      <x:c r="A5" s="24" t="str">
        <x:v>1반</x:v>
      </x:c>
      <x:c r="B5" s="24" t="str">
        <x:v>2조</x:v>
      </x:c>
      <x:c r="C5" s="24" t="str"/>
      <x:c r="D5" s="27" t="n">
        <x:v>0</x:v>
      </x:c>
      <x:c r="E5" s="24" t="n">
        <x:v>0</x:v>
      </x:c>
      <x:c r="F5" s="24" t="n">
        <x:v>0</x:v>
      </x:c>
      <x:c r="G5" s="24" t="n">
        <x:v>0</x:v>
      </x:c>
      <x:c r="H5" s="27" t="n">
        <x:v>0</x:v>
      </x:c>
      <x:c r="I5" s="27" t="n">
        <x:v>0</x:v>
      </x:c>
      <x:c r="J5" s="24" t="n">
        <x:v>0</x:v>
      </x:c>
      <x:c r="K5" s="24" t="n">
        <x:v>0</x:v>
      </x:c>
      <x:c r="L5" s="27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7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f>SUM(D5:U5)</x:f>
        <x:v>0</x:v>
      </x:c>
      <x:c r="W5" s="24" t="n">
        <x:f>SUM(D5,H5,I5,L5,R5)</x:f>
        <x:v>0</x:v>
      </x:c>
      <x:c r="X5" s="24" t="n">
        <x:f>ROUND(V5/18*40,1)</x:f>
        <x:v>0</x:v>
      </x:c>
      <x:c r="Y5" s="24" t="n">
        <x:f>ROUND(W5/5*15,1)</x:f>
        <x:v>0</x:v>
      </x:c>
      <x:c r="Z5" s="24" t="str"/>
      <x:c r="AA5" s="24" t="str"/>
      <x:c r="AB5" s="24" t="str"/>
      <x:c r="AC5" s="24" t="str"/>
      <x:c r="AD5" s="24" t="n">
        <x:f>SUM(X5:AC5)</x:f>
        <x:v>0</x:v>
      </x:c>
      <x:c r="AE5" s="24" t="str"/>
    </x:row>
    <x:row r="6">
      <x:c r="A6" s="24" t="str">
        <x:v>1반</x:v>
      </x:c>
      <x:c r="B6" s="24" t="str">
        <x:v>3조</x:v>
      </x:c>
      <x:c r="C6" s="24" t="str"/>
      <x:c r="D6" s="27" t="n">
        <x:v>0</x:v>
      </x:c>
      <x:c r="E6" s="24" t="n">
        <x:v>0</x:v>
      </x:c>
      <x:c r="F6" s="24" t="n">
        <x:v>0</x:v>
      </x:c>
      <x:c r="G6" s="24" t="n">
        <x:v>0</x:v>
      </x:c>
      <x:c r="H6" s="27" t="n">
        <x:v>0</x:v>
      </x:c>
      <x:c r="I6" s="27" t="n">
        <x:v>0</x:v>
      </x:c>
      <x:c r="J6" s="24" t="n">
        <x:v>0</x:v>
      </x:c>
      <x:c r="K6" s="24" t="n">
        <x:v>0</x:v>
      </x:c>
      <x:c r="L6" s="27" t="n">
        <x:v>0</x:v>
      </x:c>
      <x:c r="M6" s="24" t="n">
        <x:v>0</x:v>
      </x:c>
      <x:c r="N6" s="24" t="n">
        <x:v>0</x:v>
      </x:c>
      <x:c r="O6" s="24" t="n">
        <x:v>0</x:v>
      </x:c>
      <x:c r="P6" s="24" t="n">
        <x:v>0</x:v>
      </x:c>
      <x:c r="Q6" s="24" t="n">
        <x:v>0</x:v>
      </x:c>
      <x:c r="R6" s="27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f>SUM(D6:U6)</x:f>
        <x:v>0</x:v>
      </x:c>
      <x:c r="W6" s="24" t="n">
        <x:f>SUM(D6,H6,I6,L6,R6)</x:f>
        <x:v>0</x:v>
      </x:c>
      <x:c r="X6" s="24" t="n">
        <x:f>ROUND(V6/18*40,1)</x:f>
        <x:v>0</x:v>
      </x:c>
      <x:c r="Y6" s="24" t="n">
        <x:f>ROUND(W6/5*15,1)</x:f>
        <x:v>0</x:v>
      </x:c>
      <x:c r="Z6" s="24" t="str"/>
      <x:c r="AA6" s="24" t="str"/>
      <x:c r="AB6" s="24" t="str"/>
      <x:c r="AC6" s="24" t="str"/>
      <x:c r="AD6" s="24" t="n">
        <x:f>SUM(X6:AC6)</x:f>
        <x:v>0</x:v>
      </x:c>
      <x:c r="AE6" s="24" t="str"/>
    </x:row>
    <x:row r="7">
      <x:c r="A7" s="24" t="str">
        <x:v>1반</x:v>
      </x:c>
      <x:c r="B7" s="24" t="str">
        <x:v>4조</x:v>
      </x:c>
      <x:c r="C7" s="24" t="str"/>
      <x:c r="D7" s="27" t="n">
        <x:v>0</x:v>
      </x:c>
      <x:c r="E7" s="24" t="n">
        <x:v>0</x:v>
      </x:c>
      <x:c r="F7" s="24" t="n">
        <x:v>0</x:v>
      </x:c>
      <x:c r="G7" s="24" t="n">
        <x:v>0</x:v>
      </x:c>
      <x:c r="H7" s="27" t="n">
        <x:v>0</x:v>
      </x:c>
      <x:c r="I7" s="27" t="n">
        <x:v>0</x:v>
      </x:c>
      <x:c r="J7" s="24" t="n">
        <x:v>0</x:v>
      </x:c>
      <x:c r="K7" s="24" t="n">
        <x:v>0</x:v>
      </x:c>
      <x:c r="L7" s="27" t="n">
        <x:v>0</x:v>
      </x:c>
      <x:c r="M7" s="24" t="n">
        <x:v>0</x:v>
      </x:c>
      <x:c r="N7" s="24" t="n">
        <x:v>0</x:v>
      </x:c>
      <x:c r="O7" s="24" t="n">
        <x:v>0</x:v>
      </x:c>
      <x:c r="P7" s="24" t="n">
        <x:v>0</x:v>
      </x:c>
      <x:c r="Q7" s="24" t="n">
        <x:v>0</x:v>
      </x:c>
      <x:c r="R7" s="27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f>SUM(D7:U7)</x:f>
        <x:v>0</x:v>
      </x:c>
      <x:c r="W7" s="24" t="n">
        <x:f>SUM(D7,H7,I7,L7,R7)</x:f>
        <x:v>0</x:v>
      </x:c>
      <x:c r="X7" s="24" t="n">
        <x:f>ROUND(V7/18*40,1)</x:f>
        <x:v>0</x:v>
      </x:c>
      <x:c r="Y7" s="24" t="n">
        <x:f>ROUND(W7/5*15,1)</x:f>
        <x:v>0</x:v>
      </x:c>
      <x:c r="Z7" s="24" t="str"/>
      <x:c r="AA7" s="24" t="str"/>
      <x:c r="AB7" s="24" t="str"/>
      <x:c r="AC7" s="24" t="str"/>
      <x:c r="AD7" s="24" t="n">
        <x:f>SUM(X7:AC7)</x:f>
        <x:v>0</x:v>
      </x:c>
      <x:c r="AE7" s="24" t="str"/>
    </x:row>
    <x:row r="8">
      <x:c r="A8" s="24" t="str">
        <x:v>1반</x:v>
      </x:c>
      <x:c r="B8" s="24" t="str">
        <x:v>5조</x:v>
      </x:c>
      <x:c r="C8" s="24" t="str"/>
      <x:c r="D8" s="27" t="n">
        <x:v>0</x:v>
      </x:c>
      <x:c r="E8" s="24" t="n">
        <x:v>0</x:v>
      </x:c>
      <x:c r="F8" s="24" t="n">
        <x:v>0</x:v>
      </x:c>
      <x:c r="G8" s="24" t="n">
        <x:v>0</x:v>
      </x:c>
      <x:c r="H8" s="27" t="n">
        <x:v>0</x:v>
      </x:c>
      <x:c r="I8" s="27" t="n">
        <x:v>0</x:v>
      </x:c>
      <x:c r="J8" s="24" t="n">
        <x:v>0</x:v>
      </x:c>
      <x:c r="K8" s="24" t="n">
        <x:v>0</x:v>
      </x:c>
      <x:c r="L8" s="27" t="n">
        <x:v>0</x:v>
      </x:c>
      <x:c r="M8" s="24" t="n">
        <x:v>0</x:v>
      </x:c>
      <x:c r="N8" s="24" t="n">
        <x:v>0</x:v>
      </x:c>
      <x:c r="O8" s="24" t="n">
        <x:v>0</x:v>
      </x:c>
      <x:c r="P8" s="24" t="n">
        <x:v>0</x:v>
      </x:c>
      <x:c r="Q8" s="24" t="n">
        <x:v>0</x:v>
      </x:c>
      <x:c r="R8" s="27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f>SUM(D8:U8)</x:f>
        <x:v>0</x:v>
      </x:c>
      <x:c r="W8" s="24" t="n">
        <x:f>SUM(D8,H8,I8,L8,R8)</x:f>
        <x:v>0</x:v>
      </x:c>
      <x:c r="X8" s="24" t="n">
        <x:f>ROUND(V8/18*40,1)</x:f>
        <x:v>0</x:v>
      </x:c>
      <x:c r="Y8" s="24" t="n">
        <x:f>ROUND(W8/5*15,1)</x:f>
        <x:v>0</x:v>
      </x:c>
      <x:c r="Z8" s="24" t="str"/>
      <x:c r="AA8" s="24" t="str"/>
      <x:c r="AB8" s="24" t="str"/>
      <x:c r="AC8" s="24" t="str"/>
      <x:c r="AD8" s="24" t="n">
        <x:f>SUM(X8:AC8)</x:f>
        <x:v>0</x:v>
      </x:c>
      <x:c r="AE8" s="24" t="str"/>
    </x:row>
    <x:row r="9">
      <x:c r="A9" s="24" t="str">
        <x:v>2반</x:v>
      </x:c>
      <x:c r="B9" s="24" t="str">
        <x:v>1조</x:v>
      </x:c>
      <x:c r="C9" s="24" t="str"/>
      <x:c r="D9" s="27" t="n">
        <x:v>0</x:v>
      </x:c>
      <x:c r="E9" s="24" t="n">
        <x:v>0</x:v>
      </x:c>
      <x:c r="F9" s="24" t="n">
        <x:v>0</x:v>
      </x:c>
      <x:c r="G9" s="24" t="n">
        <x:v>0</x:v>
      </x:c>
      <x:c r="H9" s="27" t="n">
        <x:v>0</x:v>
      </x:c>
      <x:c r="I9" s="27" t="n">
        <x:v>0</x:v>
      </x:c>
      <x:c r="J9" s="24" t="n">
        <x:v>0</x:v>
      </x:c>
      <x:c r="K9" s="24" t="n">
        <x:v>0</x:v>
      </x:c>
      <x:c r="L9" s="27" t="n">
        <x:v>0</x:v>
      </x:c>
      <x:c r="M9" s="24" t="n">
        <x:v>0</x:v>
      </x:c>
      <x:c r="N9" s="24" t="n">
        <x:v>0</x:v>
      </x:c>
      <x:c r="O9" s="24" t="n">
        <x:v>0</x:v>
      </x:c>
      <x:c r="P9" s="24" t="n">
        <x:v>0</x:v>
      </x:c>
      <x:c r="Q9" s="24" t="n">
        <x:v>0</x:v>
      </x:c>
      <x:c r="R9" s="27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f>SUM(D9:U9)</x:f>
        <x:v>0</x:v>
      </x:c>
      <x:c r="W9" s="24" t="n">
        <x:f>SUM(D9,H9,I9,L9,R9)</x:f>
        <x:v>0</x:v>
      </x:c>
      <x:c r="X9" s="24" t="n">
        <x:f>ROUND(V9/18*40,1)</x:f>
        <x:v>0</x:v>
      </x:c>
      <x:c r="Y9" s="24" t="n">
        <x:f>ROUND(W9/5*15,1)</x:f>
        <x:v>0</x:v>
      </x:c>
      <x:c r="Z9" s="24" t="str"/>
      <x:c r="AA9" s="24" t="str"/>
      <x:c r="AB9" s="24" t="str"/>
      <x:c r="AC9" s="24" t="str"/>
      <x:c r="AD9" s="24" t="n">
        <x:f>SUM(X9:AC9)</x:f>
        <x:v>0</x:v>
      </x:c>
      <x:c r="AE9" s="24" t="str"/>
    </x:row>
    <x:row r="10">
      <x:c r="A10" s="24" t="str">
        <x:v>2반</x:v>
      </x:c>
      <x:c r="B10" s="24" t="str">
        <x:v>2조</x:v>
      </x:c>
      <x:c r="C10" s="24" t="str"/>
      <x:c r="D10" s="27" t="n">
        <x:v>0</x:v>
      </x:c>
      <x:c r="E10" s="24" t="n">
        <x:v>0</x:v>
      </x:c>
      <x:c r="F10" s="24" t="n">
        <x:v>0</x:v>
      </x:c>
      <x:c r="G10" s="24" t="n">
        <x:v>0</x:v>
      </x:c>
      <x:c r="H10" s="27" t="n">
        <x:v>0</x:v>
      </x:c>
      <x:c r="I10" s="27" t="n">
        <x:v>0</x:v>
      </x:c>
      <x:c r="J10" s="24" t="n">
        <x:v>0</x:v>
      </x:c>
      <x:c r="K10" s="24" t="n">
        <x:v>0</x:v>
      </x:c>
      <x:c r="L10" s="27" t="n">
        <x:v>0</x:v>
      </x:c>
      <x:c r="M10" s="24" t="n">
        <x:v>0</x:v>
      </x:c>
      <x:c r="N10" s="24" t="n">
        <x:v>0</x:v>
      </x:c>
      <x:c r="O10" s="24" t="n">
        <x:v>0</x:v>
      </x:c>
      <x:c r="P10" s="24" t="n">
        <x:v>0</x:v>
      </x:c>
      <x:c r="Q10" s="24" t="n">
        <x:v>0</x:v>
      </x:c>
      <x:c r="R10" s="27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f>SUM(D10:U10)</x:f>
        <x:v>0</x:v>
      </x:c>
      <x:c r="W10" s="24" t="n">
        <x:f>SUM(D10,H10,I10,L10,R10)</x:f>
        <x:v>0</x:v>
      </x:c>
      <x:c r="X10" s="24" t="n">
        <x:f>ROUND(V10/18*40,1)</x:f>
        <x:v>0</x:v>
      </x:c>
      <x:c r="Y10" s="24" t="n">
        <x:f>ROUND(W10/5*15,1)</x:f>
        <x:v>0</x:v>
      </x:c>
      <x:c r="Z10" s="24" t="str"/>
      <x:c r="AA10" s="24" t="str"/>
      <x:c r="AB10" s="24" t="str"/>
      <x:c r="AC10" s="24" t="str"/>
      <x:c r="AD10" s="24" t="n">
        <x:f>SUM(X10:AC10)</x:f>
        <x:v>0</x:v>
      </x:c>
      <x:c r="AE10" s="24" t="str"/>
    </x:row>
    <x:row r="11">
      <x:c r="A11" s="24" t="str">
        <x:v>2반</x:v>
      </x:c>
      <x:c r="B11" s="24" t="str">
        <x:v>3조</x:v>
      </x:c>
      <x:c r="C11" s="24" t="str"/>
      <x:c r="D11" s="27" t="n">
        <x:v>0</x:v>
      </x:c>
      <x:c r="E11" s="24" t="n">
        <x:v>0</x:v>
      </x:c>
      <x:c r="F11" s="24" t="n">
        <x:v>0</x:v>
      </x:c>
      <x:c r="G11" s="24" t="n">
        <x:v>0</x:v>
      </x:c>
      <x:c r="H11" s="27" t="n">
        <x:v>0</x:v>
      </x:c>
      <x:c r="I11" s="27" t="n">
        <x:v>0</x:v>
      </x:c>
      <x:c r="J11" s="24" t="n">
        <x:v>0</x:v>
      </x:c>
      <x:c r="K11" s="24" t="n">
        <x:v>0</x:v>
      </x:c>
      <x:c r="L11" s="27" t="n">
        <x:v>0</x:v>
      </x:c>
      <x:c r="M11" s="24" t="n">
        <x:v>0</x:v>
      </x:c>
      <x:c r="N11" s="24" t="n">
        <x:v>0</x:v>
      </x:c>
      <x:c r="O11" s="24" t="n">
        <x:v>0</x:v>
      </x:c>
      <x:c r="P11" s="24" t="n">
        <x:v>0</x:v>
      </x:c>
      <x:c r="Q11" s="24" t="n">
        <x:v>0</x:v>
      </x:c>
      <x:c r="R11" s="27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f>SUM(D11:U11)</x:f>
        <x:v>0</x:v>
      </x:c>
      <x:c r="W11" s="24" t="n">
        <x:f>SUM(D11,H11,I11,L11,R11)</x:f>
        <x:v>0</x:v>
      </x:c>
      <x:c r="X11" s="24" t="n">
        <x:f>ROUND(V11/18*40,1)</x:f>
        <x:v>0</x:v>
      </x:c>
      <x:c r="Y11" s="24" t="n">
        <x:f>ROUND(W11/5*15,1)</x:f>
        <x:v>0</x:v>
      </x:c>
      <x:c r="Z11" s="24" t="str"/>
      <x:c r="AA11" s="24" t="str"/>
      <x:c r="AB11" s="24" t="str"/>
      <x:c r="AC11" s="24" t="str"/>
      <x:c r="AD11" s="24" t="n">
        <x:f>SUM(X11:AC11)</x:f>
        <x:v>0</x:v>
      </x:c>
      <x:c r="AE11" s="24" t="str"/>
    </x:row>
    <x:row r="12">
      <x:c r="A12" s="24" t="str">
        <x:v>2반</x:v>
      </x:c>
      <x:c r="B12" s="24" t="str">
        <x:v>4조</x:v>
      </x:c>
      <x:c r="C12" s="24" t="str"/>
      <x:c r="D12" s="27" t="n">
        <x:v>0</x:v>
      </x:c>
      <x:c r="E12" s="24" t="n">
        <x:v>0</x:v>
      </x:c>
      <x:c r="F12" s="24" t="n">
        <x:v>0</x:v>
      </x:c>
      <x:c r="G12" s="24" t="n">
        <x:v>0</x:v>
      </x:c>
      <x:c r="H12" s="27" t="n">
        <x:v>0</x:v>
      </x:c>
      <x:c r="I12" s="27" t="n">
        <x:v>0</x:v>
      </x:c>
      <x:c r="J12" s="24" t="n">
        <x:v>0</x:v>
      </x:c>
      <x:c r="K12" s="24" t="n">
        <x:v>0</x:v>
      </x:c>
      <x:c r="L12" s="27" t="n">
        <x:v>0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7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f>SUM(D12:U12)</x:f>
        <x:v>0</x:v>
      </x:c>
      <x:c r="W12" s="24" t="n">
        <x:f>SUM(D12,H12,I12,L12,R12)</x:f>
        <x:v>0</x:v>
      </x:c>
      <x:c r="X12" s="24" t="n">
        <x:f>ROUND(V12/18*40,1)</x:f>
        <x:v>0</x:v>
      </x:c>
      <x:c r="Y12" s="24" t="n">
        <x:f>ROUND(W12/5*15,1)</x:f>
        <x:v>0</x:v>
      </x:c>
      <x:c r="Z12" s="24" t="str"/>
      <x:c r="AA12" s="24" t="str"/>
      <x:c r="AB12" s="24" t="str"/>
      <x:c r="AC12" s="24" t="str"/>
      <x:c r="AD12" s="24" t="n">
        <x:f>SUM(X12:AC12)</x:f>
        <x:v>0</x:v>
      </x:c>
      <x:c r="AE12" s="24" t="str"/>
    </x:row>
    <x:row r="13">
      <x:c r="A13" s="24" t="str">
        <x:v>2반</x:v>
      </x:c>
      <x:c r="B13" s="24" t="str">
        <x:v>5조</x:v>
      </x:c>
      <x:c r="C13" s="24" t="str"/>
      <x:c r="D13" s="27" t="n">
        <x:v>0</x:v>
      </x:c>
      <x:c r="E13" s="24" t="n">
        <x:v>0</x:v>
      </x:c>
      <x:c r="F13" s="24" t="n">
        <x:v>0</x:v>
      </x:c>
      <x:c r="G13" s="24" t="n">
        <x:v>0</x:v>
      </x:c>
      <x:c r="H13" s="27" t="n">
        <x:v>0</x:v>
      </x:c>
      <x:c r="I13" s="27" t="n">
        <x:v>0</x:v>
      </x:c>
      <x:c r="J13" s="24" t="n">
        <x:v>0</x:v>
      </x:c>
      <x:c r="K13" s="24" t="n">
        <x:v>0</x:v>
      </x:c>
      <x:c r="L13" s="27" t="n">
        <x:v>0</x:v>
      </x:c>
      <x:c r="M13" s="24" t="n">
        <x:v>0</x:v>
      </x:c>
      <x:c r="N13" s="24" t="n">
        <x:v>0</x:v>
      </x:c>
      <x:c r="O13" s="24" t="n">
        <x:v>0</x:v>
      </x:c>
      <x:c r="P13" s="24" t="n">
        <x:v>0</x:v>
      </x:c>
      <x:c r="Q13" s="24" t="n">
        <x:v>0</x:v>
      </x:c>
      <x:c r="R13" s="27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f>SUM(D13:U13)</x:f>
        <x:v>0</x:v>
      </x:c>
      <x:c r="W13" s="24" t="n">
        <x:f>SUM(D13,H13,I13,L13,R13)</x:f>
        <x:v>0</x:v>
      </x:c>
      <x:c r="X13" s="24" t="n">
        <x:f>ROUND(V13/18*40,1)</x:f>
        <x:v>0</x:v>
      </x:c>
      <x:c r="Y13" s="24" t="n">
        <x:f>ROUND(W13/5*15,1)</x:f>
        <x:v>0</x:v>
      </x:c>
      <x:c r="Z13" s="24" t="str"/>
      <x:c r="AA13" s="24" t="str"/>
      <x:c r="AB13" s="24" t="str"/>
      <x:c r="AC13" s="24" t="str"/>
      <x:c r="AD13" s="24" t="n">
        <x:f>SUM(X13:AC13)</x:f>
        <x:v>0</x:v>
      </x:c>
      <x:c r="AE13" s="24" t="str"/>
    </x:row>
    <x:row r="14">
      <x:c r="A14" s="24" t="str">
        <x:v>3반</x:v>
      </x:c>
      <x:c r="B14" s="24" t="str">
        <x:v>1조</x:v>
      </x:c>
      <x:c r="C14" s="24" t="str"/>
      <x:c r="D14" s="27" t="n">
        <x:v>0</x:v>
      </x:c>
      <x:c r="E14" s="24" t="n">
        <x:v>0</x:v>
      </x:c>
      <x:c r="F14" s="24" t="n">
        <x:v>0</x:v>
      </x:c>
      <x:c r="G14" s="24" t="n">
        <x:v>0</x:v>
      </x:c>
      <x:c r="H14" s="27" t="n">
        <x:v>0</x:v>
      </x:c>
      <x:c r="I14" s="27" t="n">
        <x:v>0</x:v>
      </x:c>
      <x:c r="J14" s="24" t="n">
        <x:v>0</x:v>
      </x:c>
      <x:c r="K14" s="24" t="n">
        <x:v>0</x:v>
      </x:c>
      <x:c r="L14" s="27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7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f>SUM(D14:U14)</x:f>
        <x:v>0</x:v>
      </x:c>
      <x:c r="W14" s="24" t="n">
        <x:f>SUM(D14,H14,I14,L14,R14)</x:f>
        <x:v>0</x:v>
      </x:c>
      <x:c r="X14" s="24" t="n">
        <x:f>ROUND(V14/18*40,1)</x:f>
        <x:v>0</x:v>
      </x:c>
      <x:c r="Y14" s="24" t="n">
        <x:f>ROUND(W14/5*15,1)</x:f>
        <x:v>0</x:v>
      </x:c>
      <x:c r="Z14" s="24" t="str"/>
      <x:c r="AA14" s="24" t="str"/>
      <x:c r="AB14" s="24" t="str"/>
      <x:c r="AC14" s="24" t="str"/>
      <x:c r="AD14" s="24" t="n">
        <x:f>SUM(X14:AC14)</x:f>
        <x:v>0</x:v>
      </x:c>
      <x:c r="AE14" s="24" t="str"/>
    </x:row>
    <x:row r="15">
      <x:c r="A15" s="24" t="str">
        <x:v>3반</x:v>
      </x:c>
      <x:c r="B15" s="24" t="str">
        <x:v>2조</x:v>
      </x:c>
      <x:c r="C15" s="24" t="str"/>
      <x:c r="D15" s="27" t="n">
        <x:v>0</x:v>
      </x:c>
      <x:c r="E15" s="24" t="n">
        <x:v>0</x:v>
      </x:c>
      <x:c r="F15" s="24" t="n">
        <x:v>0</x:v>
      </x:c>
      <x:c r="G15" s="24" t="n">
        <x:v>0</x:v>
      </x:c>
      <x:c r="H15" s="27" t="n">
        <x:v>0</x:v>
      </x:c>
      <x:c r="I15" s="27" t="n">
        <x:v>0</x:v>
      </x:c>
      <x:c r="J15" s="24" t="n">
        <x:v>0</x:v>
      </x:c>
      <x:c r="K15" s="24" t="n">
        <x:v>0</x:v>
      </x:c>
      <x:c r="L15" s="27" t="n">
        <x:v>0</x:v>
      </x:c>
      <x:c r="M15" s="24" t="n">
        <x:v>0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7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f>SUM(D15:U15)</x:f>
        <x:v>0</x:v>
      </x:c>
      <x:c r="W15" s="24" t="n">
        <x:f>SUM(D15,H15,I15,L15,R15)</x:f>
        <x:v>0</x:v>
      </x:c>
      <x:c r="X15" s="24" t="n">
        <x:f>ROUND(V15/18*40,1)</x:f>
        <x:v>0</x:v>
      </x:c>
      <x:c r="Y15" s="24" t="n">
        <x:f>ROUND(W15/5*15,1)</x:f>
        <x:v>0</x:v>
      </x:c>
      <x:c r="Z15" s="24" t="str"/>
      <x:c r="AA15" s="24" t="str"/>
      <x:c r="AB15" s="24" t="str"/>
      <x:c r="AC15" s="24" t="str"/>
      <x:c r="AD15" s="24" t="n">
        <x:f>SUM(X15:AC15)</x:f>
        <x:v>0</x:v>
      </x:c>
      <x:c r="AE15" s="24" t="str"/>
    </x:row>
    <x:row r="16">
      <x:c r="A16" s="24" t="str">
        <x:v>3반</x:v>
      </x:c>
      <x:c r="B16" s="24" t="str">
        <x:v>3조</x:v>
      </x:c>
      <x:c r="C16" s="24" t="str"/>
      <x:c r="D16" s="27" t="n">
        <x:v>0</x:v>
      </x:c>
      <x:c r="E16" s="24" t="n">
        <x:v>0</x:v>
      </x:c>
      <x:c r="F16" s="24" t="n">
        <x:v>0</x:v>
      </x:c>
      <x:c r="G16" s="24" t="n">
        <x:v>0</x:v>
      </x:c>
      <x:c r="H16" s="27" t="n">
        <x:v>0</x:v>
      </x:c>
      <x:c r="I16" s="27" t="n">
        <x:v>0</x:v>
      </x:c>
      <x:c r="J16" s="24" t="n">
        <x:v>0</x:v>
      </x:c>
      <x:c r="K16" s="24" t="n">
        <x:v>0</x:v>
      </x:c>
      <x:c r="L16" s="27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7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f>SUM(D16:U16)</x:f>
        <x:v>0</x:v>
      </x:c>
      <x:c r="W16" s="24" t="n">
        <x:f>SUM(D16,H16,I16,L16,R16)</x:f>
        <x:v>0</x:v>
      </x:c>
      <x:c r="X16" s="24" t="n">
        <x:f>ROUND(V16/18*40,1)</x:f>
        <x:v>0</x:v>
      </x:c>
      <x:c r="Y16" s="24" t="n">
        <x:f>ROUND(W16/5*15,1)</x:f>
        <x:v>0</x:v>
      </x:c>
      <x:c r="Z16" s="24" t="str"/>
      <x:c r="AA16" s="24" t="str"/>
      <x:c r="AB16" s="24" t="str"/>
      <x:c r="AC16" s="24" t="str"/>
      <x:c r="AD16" s="24" t="n">
        <x:f>SUM(X16:AC16)</x:f>
        <x:v>0</x:v>
      </x:c>
      <x:c r="AE16" s="24" t="str"/>
    </x:row>
    <x:row r="17">
      <x:c r="A17" s="24" t="str">
        <x:v>3반</x:v>
      </x:c>
      <x:c r="B17" s="24" t="str">
        <x:v>4조</x:v>
      </x:c>
      <x:c r="C17" s="24" t="str"/>
      <x:c r="D17" s="27" t="n">
        <x:v>0</x:v>
      </x:c>
      <x:c r="E17" s="24" t="n">
        <x:v>0</x:v>
      </x:c>
      <x:c r="F17" s="24" t="n">
        <x:v>0</x:v>
      </x:c>
      <x:c r="G17" s="24" t="n">
        <x:v>0</x:v>
      </x:c>
      <x:c r="H17" s="27" t="n">
        <x:v>0</x:v>
      </x:c>
      <x:c r="I17" s="27" t="n">
        <x:v>0</x:v>
      </x:c>
      <x:c r="J17" s="24" t="n">
        <x:v>0</x:v>
      </x:c>
      <x:c r="K17" s="24" t="n">
        <x:v>0</x:v>
      </x:c>
      <x:c r="L17" s="27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7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f>SUM(D17:U17)</x:f>
        <x:v>0</x:v>
      </x:c>
      <x:c r="W17" s="24" t="n">
        <x:f>SUM(D17,H17,I17,L17,R17)</x:f>
        <x:v>0</x:v>
      </x:c>
      <x:c r="X17" s="24" t="n">
        <x:f>ROUND(V17/18*40,1)</x:f>
        <x:v>0</x:v>
      </x:c>
      <x:c r="Y17" s="24" t="n">
        <x:f>ROUND(W17/5*15,1)</x:f>
        <x:v>0</x:v>
      </x:c>
      <x:c r="Z17" s="24" t="str"/>
      <x:c r="AA17" s="24" t="str"/>
      <x:c r="AB17" s="24" t="str"/>
      <x:c r="AC17" s="24" t="str"/>
      <x:c r="AD17" s="24" t="n">
        <x:f>SUM(X17:AC17)</x:f>
        <x:v>0</x:v>
      </x:c>
      <x:c r="AE17" s="24" t="str"/>
    </x:row>
    <x:row r="18">
      <x:c r="A18" s="24" t="str">
        <x:v>3반</x:v>
      </x:c>
      <x:c r="B18" s="24" t="str">
        <x:v>5조</x:v>
      </x:c>
      <x:c r="C18" s="24" t="str"/>
      <x:c r="D18" s="27" t="n">
        <x:v>0</x:v>
      </x:c>
      <x:c r="E18" s="24" t="n">
        <x:v>0</x:v>
      </x:c>
      <x:c r="F18" s="24" t="n">
        <x:v>0</x:v>
      </x:c>
      <x:c r="G18" s="24" t="n">
        <x:v>0</x:v>
      </x:c>
      <x:c r="H18" s="27" t="n">
        <x:v>0</x:v>
      </x:c>
      <x:c r="I18" s="27" t="n">
        <x:v>0</x:v>
      </x:c>
      <x:c r="J18" s="24" t="n">
        <x:v>0</x:v>
      </x:c>
      <x:c r="K18" s="24" t="n">
        <x:v>0</x:v>
      </x:c>
      <x:c r="L18" s="27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</x:v>
      </x:c>
      <x:c r="R18" s="27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f>SUM(D18:U18)</x:f>
        <x:v>0</x:v>
      </x:c>
      <x:c r="W18" s="24" t="n">
        <x:f>SUM(D18,H18,I18,L18,R18)</x:f>
        <x:v>0</x:v>
      </x:c>
      <x:c r="X18" s="24" t="n">
        <x:f>ROUND(V18/18*40,1)</x:f>
        <x:v>0</x:v>
      </x:c>
      <x:c r="Y18" s="24" t="n">
        <x:f>ROUND(W18/5*15,1)</x:f>
        <x:v>0</x:v>
      </x:c>
      <x:c r="Z18" s="24" t="str"/>
      <x:c r="AA18" s="24" t="str"/>
      <x:c r="AB18" s="24" t="str"/>
      <x:c r="AC18" s="24" t="str"/>
      <x:c r="AD18" s="24" t="n">
        <x:f>SUM(X18:AC18)</x:f>
        <x:v>0</x:v>
      </x:c>
      <x:c r="AE18" s="24" t="str"/>
    </x:row>
    <x:row r="19">
      <x:c r="A19" s="24" t="str">
        <x:v>4반</x:v>
      </x:c>
      <x:c r="B19" s="24" t="str">
        <x:v>1조</x:v>
      </x:c>
      <x:c r="C19" s="24" t="str"/>
      <x:c r="D19" s="27" t="n">
        <x:v>0</x:v>
      </x:c>
      <x:c r="E19" s="24" t="n">
        <x:v>0</x:v>
      </x:c>
      <x:c r="F19" s="24" t="n">
        <x:v>0</x:v>
      </x:c>
      <x:c r="G19" s="24" t="n">
        <x:v>0</x:v>
      </x:c>
      <x:c r="H19" s="27" t="n">
        <x:v>0</x:v>
      </x:c>
      <x:c r="I19" s="27" t="n">
        <x:v>0</x:v>
      </x:c>
      <x:c r="J19" s="24" t="n">
        <x:v>0</x:v>
      </x:c>
      <x:c r="K19" s="24" t="n">
        <x:v>0</x:v>
      </x:c>
      <x:c r="L19" s="27" t="n">
        <x:v>0</x:v>
      </x:c>
      <x:c r="M19" s="24" t="n">
        <x:v>0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7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f>SUM(D19:U19)</x:f>
        <x:v>0</x:v>
      </x:c>
      <x:c r="W19" s="24" t="n">
        <x:f>SUM(D19,H19,I19,L19,R19)</x:f>
        <x:v>0</x:v>
      </x:c>
      <x:c r="X19" s="24" t="n">
        <x:f>ROUND(V19/18*40,1)</x:f>
        <x:v>0</x:v>
      </x:c>
      <x:c r="Y19" s="24" t="n">
        <x:f>ROUND(W19/5*15,1)</x:f>
        <x:v>0</x:v>
      </x:c>
      <x:c r="Z19" s="24" t="str"/>
      <x:c r="AA19" s="24" t="str"/>
      <x:c r="AB19" s="24" t="str"/>
      <x:c r="AC19" s="24" t="str"/>
      <x:c r="AD19" s="24" t="n">
        <x:f>SUM(X19:AC19)</x:f>
        <x:v>0</x:v>
      </x:c>
      <x:c r="AE19" s="24" t="str"/>
    </x:row>
    <x:row r="20">
      <x:c r="A20" s="24" t="str">
        <x:v>4반</x:v>
      </x:c>
      <x:c r="B20" s="24" t="str">
        <x:v>2조</x:v>
      </x:c>
      <x:c r="C20" s="24" t="str"/>
      <x:c r="D20" s="27" t="n">
        <x:v>0</x:v>
      </x:c>
      <x:c r="E20" s="24" t="n">
        <x:v>0</x:v>
      </x:c>
      <x:c r="F20" s="24" t="n">
        <x:v>0</x:v>
      </x:c>
      <x:c r="G20" s="24" t="n">
        <x:v>0</x:v>
      </x:c>
      <x:c r="H20" s="27" t="n">
        <x:v>0</x:v>
      </x:c>
      <x:c r="I20" s="27" t="n">
        <x:v>0</x:v>
      </x:c>
      <x:c r="J20" s="24" t="n">
        <x:v>0</x:v>
      </x:c>
      <x:c r="K20" s="24" t="n">
        <x:v>0</x:v>
      </x:c>
      <x:c r="L20" s="27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7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f>SUM(D20:U20)</x:f>
        <x:v>0</x:v>
      </x:c>
      <x:c r="W20" s="24" t="n">
        <x:f>SUM(D20,H20,I20,L20,R20)</x:f>
        <x:v>0</x:v>
      </x:c>
      <x:c r="X20" s="24" t="n">
        <x:f>ROUND(V20/18*40,1)</x:f>
        <x:v>0</x:v>
      </x:c>
      <x:c r="Y20" s="24" t="n">
        <x:f>ROUND(W20/5*15,1)</x:f>
        <x:v>0</x:v>
      </x:c>
      <x:c r="Z20" s="24" t="str"/>
      <x:c r="AA20" s="24" t="str"/>
      <x:c r="AB20" s="24" t="str"/>
      <x:c r="AC20" s="24" t="str"/>
      <x:c r="AD20" s="24" t="n">
        <x:f>SUM(X20:AC20)</x:f>
        <x:v>0</x:v>
      </x:c>
      <x:c r="AE20" s="24" t="str"/>
    </x:row>
    <x:row r="21">
      <x:c r="A21" s="24" t="str">
        <x:v>4반</x:v>
      </x:c>
      <x:c r="B21" s="24" t="str">
        <x:v>3조</x:v>
      </x:c>
      <x:c r="C21" s="24" t="str"/>
      <x:c r="D21" s="27" t="n">
        <x:v>0</x:v>
      </x:c>
      <x:c r="E21" s="24" t="n">
        <x:v>0</x:v>
      </x:c>
      <x:c r="F21" s="24" t="n">
        <x:v>0</x:v>
      </x:c>
      <x:c r="G21" s="24" t="n">
        <x:v>0</x:v>
      </x:c>
      <x:c r="H21" s="27" t="n">
        <x:v>0</x:v>
      </x:c>
      <x:c r="I21" s="27" t="n">
        <x:v>0</x:v>
      </x:c>
      <x:c r="J21" s="24" t="n">
        <x:v>0</x:v>
      </x:c>
      <x:c r="K21" s="24" t="n">
        <x:v>0</x:v>
      </x:c>
      <x:c r="L21" s="27" t="n">
        <x:v>0</x:v>
      </x:c>
      <x:c r="M21" s="24" t="n">
        <x:v>0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7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f>SUM(D21:U21)</x:f>
        <x:v>0</x:v>
      </x:c>
      <x:c r="W21" s="24" t="n">
        <x:f>SUM(D21,H21,I21,L21,R21)</x:f>
        <x:v>0</x:v>
      </x:c>
      <x:c r="X21" s="24" t="n">
        <x:f>ROUND(V21/18*40,1)</x:f>
        <x:v>0</x:v>
      </x:c>
      <x:c r="Y21" s="24" t="n">
        <x:f>ROUND(W21/5*15,1)</x:f>
        <x:v>0</x:v>
      </x:c>
      <x:c r="Z21" s="24" t="str"/>
      <x:c r="AA21" s="24" t="str"/>
      <x:c r="AB21" s="24" t="str"/>
      <x:c r="AC21" s="24" t="str"/>
      <x:c r="AD21" s="24" t="n">
        <x:f>SUM(X21:AC21)</x:f>
        <x:v>0</x:v>
      </x:c>
      <x:c r="AE21" s="24" t="str"/>
    </x:row>
    <x:row r="22">
      <x:c r="A22" s="24" t="str">
        <x:v>4반</x:v>
      </x:c>
      <x:c r="B22" s="24" t="str">
        <x:v>4조</x:v>
      </x:c>
      <x:c r="C22" s="24" t="str"/>
      <x:c r="D22" s="27" t="n">
        <x:v>0</x:v>
      </x:c>
      <x:c r="E22" s="24" t="n">
        <x:v>0</x:v>
      </x:c>
      <x:c r="F22" s="24" t="n">
        <x:v>0</x:v>
      </x:c>
      <x:c r="G22" s="24" t="n">
        <x:v>0</x:v>
      </x:c>
      <x:c r="H22" s="27" t="n">
        <x:v>0</x:v>
      </x:c>
      <x:c r="I22" s="27" t="n">
        <x:v>0</x:v>
      </x:c>
      <x:c r="J22" s="24" t="n">
        <x:v>0</x:v>
      </x:c>
      <x:c r="K22" s="24" t="n">
        <x:v>0</x:v>
      </x:c>
      <x:c r="L22" s="27" t="n">
        <x:v>0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7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f>SUM(D22:U22)</x:f>
        <x:v>0</x:v>
      </x:c>
      <x:c r="W22" s="24" t="n">
        <x:f>SUM(D22,H22,I22,L22,R22)</x:f>
        <x:v>0</x:v>
      </x:c>
      <x:c r="X22" s="24" t="n">
        <x:f>ROUND(V22/18*40,1)</x:f>
        <x:v>0</x:v>
      </x:c>
      <x:c r="Y22" s="24" t="n">
        <x:f>ROUND(W22/5*15,1)</x:f>
        <x:v>0</x:v>
      </x:c>
      <x:c r="Z22" s="24" t="str"/>
      <x:c r="AA22" s="24" t="str"/>
      <x:c r="AB22" s="24" t="str"/>
      <x:c r="AC22" s="24" t="str"/>
      <x:c r="AD22" s="24" t="n">
        <x:f>SUM(X22:AC22)</x:f>
        <x:v>0</x:v>
      </x:c>
      <x:c r="AE22" s="24" t="str"/>
    </x:row>
    <x:row r="23">
      <x:c r="A23" s="24" t="str">
        <x:v>4반</x:v>
      </x:c>
      <x:c r="B23" s="24" t="str">
        <x:v>5조</x:v>
      </x:c>
      <x:c r="C23" s="24" t="str"/>
      <x:c r="D23" s="27" t="n">
        <x:v>0</x:v>
      </x:c>
      <x:c r="E23" s="24" t="n">
        <x:v>0</x:v>
      </x:c>
      <x:c r="F23" s="24" t="n">
        <x:v>0</x:v>
      </x:c>
      <x:c r="G23" s="24" t="n">
        <x:v>0</x:v>
      </x:c>
      <x:c r="H23" s="27" t="n">
        <x:v>0</x:v>
      </x:c>
      <x:c r="I23" s="27" t="n">
        <x:v>0</x:v>
      </x:c>
      <x:c r="J23" s="24" t="n">
        <x:v>0</x:v>
      </x:c>
      <x:c r="K23" s="24" t="n">
        <x:v>0</x:v>
      </x:c>
      <x:c r="L23" s="27" t="n">
        <x:v>0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7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f>SUM(D23:U23)</x:f>
        <x:v>0</x:v>
      </x:c>
      <x:c r="W23" s="24" t="n">
        <x:f>SUM(D23,H23,I23,L23,R23)</x:f>
        <x:v>0</x:v>
      </x:c>
      <x:c r="X23" s="24" t="n">
        <x:f>ROUND(V23/18*40,1)</x:f>
        <x:v>0</x:v>
      </x:c>
      <x:c r="Y23" s="24" t="n">
        <x:f>ROUND(W23/5*15,1)</x:f>
        <x:v>0</x:v>
      </x:c>
      <x:c r="Z23" s="24" t="str"/>
      <x:c r="AA23" s="24" t="str"/>
      <x:c r="AB23" s="24" t="str"/>
      <x:c r="AC23" s="24" t="str"/>
      <x:c r="AD23" s="24" t="n">
        <x:f>SUM(X23:AC23)</x:f>
        <x:v>0</x:v>
      </x:c>
      <x:c r="AE23" s="24" t="str"/>
    </x:row>
    <x:row r="25">
      <x:c r="A25" s="36" t="str">
        <x:v>주의: A01, A05, A06, A09, A15는 고위험 오류입니다. 고위험 오류는 발견 여부뿐 아니라 왜 즉시 위해가 되는지 설명할 수 있어야 합니다.</x:v>
      </x:c>
    </x:row>
  </x:sheetData>
  <x:mergeCells>
    <x:mergeCell ref="A1:AE1"/>
    <x:mergeCell ref="A25:AE25"/>
  </x:mergeCells>
  <x:conditionalFormatting sqref="AD4:AD23">
    <x:cfRule type="cellIs" dxfId="0" priority="1" operator="lessThan">
      <x:formula>70</x:formula>
    </x:cfRule>
    <x:cfRule type="cellIs" dxfId="1" priority="2" operator="greaterThanOrEqual">
      <x:formula>90</x:formula>
    </x:cfRule>
  </x:conditionalFormatting>
  <x:dataValidations count="4">
    <x:dataValidation type="list" sqref="D4:U23">
      <x:formula1>"0,1"</x:formula1>
    </x:dataValidation>
    <x:dataValidation type="whole" operator="between" sqref="Z4:AA23">
      <x:formula1>0</x:formula1>
      <x:formula2>15</x:formula2>
    </x:dataValidation>
    <x:dataValidation type="whole" operator="between" sqref="AB4:AB23">
      <x:formula1>0</x:formula1>
      <x:formula2>10</x:formula2>
    </x:dataValidation>
    <x:dataValidation type="whole" operator="between" sqref="AC4:AC23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c6c186fa7048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9" hidden="0" customWidth="1"/>
    <x:col min="23" max="23" width="9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5" hidden="0" customWidth="1"/>
  </x:cols>
  <x:sheetData>
    <x:row r="1">
      <x:c r="A1" s="5" t="str">
        <x:v>CASE B 채점표 - 폐렴·패혈증 의심 환자: 산소요법·격리·검체·항생제 안전</x:v>
      </x:c>
    </x:row>
    <x:row r="3">
      <x:c r="A3" s="14" t="str">
        <x:v>반</x:v>
      </x:c>
      <x:c r="B3" s="14" t="str">
        <x:v>조</x:v>
      </x:c>
      <x:c r="C3" s="14" t="str">
        <x:v>조원/메모</x:v>
      </x:c>
      <x:c r="D3" s="31" t="str">
        <x:v>B01</x:v>
      </x:c>
      <x:c r="E3" s="31" t="str">
        <x:v>B02</x:v>
      </x:c>
      <x:c r="F3" s="14" t="str">
        <x:v>B03</x:v>
      </x:c>
      <x:c r="G3" s="14" t="str">
        <x:v>B04</x:v>
      </x:c>
      <x:c r="H3" s="14" t="str">
        <x:v>B05</x:v>
      </x:c>
      <x:c r="I3" s="14" t="str">
        <x:v>B06</x:v>
      </x:c>
      <x:c r="J3" s="31" t="str">
        <x:v>B07</x:v>
      </x:c>
      <x:c r="K3" s="31" t="str">
        <x:v>B08</x:v>
      </x:c>
      <x:c r="L3" s="31" t="str">
        <x:v>B09</x:v>
      </x:c>
      <x:c r="M3" s="14" t="str">
        <x:v>B10</x:v>
      </x:c>
      <x:c r="N3" s="14" t="str">
        <x:v>B11</x:v>
      </x:c>
      <x:c r="O3" s="14" t="str">
        <x:v>B12</x:v>
      </x:c>
      <x:c r="P3" s="14" t="str">
        <x:v>B13</x:v>
      </x:c>
      <x:c r="Q3" s="14" t="str">
        <x:v>B14</x:v>
      </x:c>
      <x:c r="R3" s="14" t="str">
        <x:v>B15</x:v>
      </x:c>
      <x:c r="S3" s="14" t="str">
        <x:v>B16</x:v>
      </x:c>
      <x:c r="T3" s="14" t="str">
        <x:v>B17</x:v>
      </x:c>
      <x:c r="U3" s="14" t="str">
        <x:v>B18</x:v>
      </x:c>
      <x:c r="V3" s="14" t="str">
        <x:v>탐지수</x:v>
      </x:c>
      <x:c r="W3" s="14" t="str">
        <x:v>고위험수</x:v>
      </x:c>
      <x:c r="X3" s="14" t="str">
        <x:v>탐지점수(40)</x:v>
      </x:c>
      <x:c r="Y3" s="14" t="str">
        <x:v>고위험점수(15)</x:v>
      </x:c>
      <x:c r="Z3" s="14" t="str">
        <x:v>우선순위(15)</x:v>
      </x:c>
      <x:c r="AA3" s="14" t="str">
        <x:v>SBAR(15)</x:v>
      </x:c>
      <x:c r="AB3" s="14" t="str">
        <x:v>팀워크(10)</x:v>
      </x:c>
      <x:c r="AC3" s="14" t="str">
        <x:v>성찰(5)</x:v>
      </x:c>
      <x:c r="AD3" s="14" t="str">
        <x:v>총점</x:v>
      </x:c>
      <x:c r="AE3" s="14" t="str">
        <x:v>교수 피드백</x:v>
      </x:c>
    </x:row>
    <x:row r="4">
      <x:c r="A4" s="24" t="str">
        <x:v>1반</x:v>
      </x:c>
      <x:c r="B4" s="24" t="str">
        <x:v>1조</x:v>
      </x:c>
      <x:c r="C4" s="24" t="str"/>
      <x:c r="D4" s="27" t="n">
        <x:v>0</x:v>
      </x:c>
      <x:c r="E4" s="27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v>0</x:v>
      </x:c>
      <x:c r="J4" s="27" t="n">
        <x:v>0</x:v>
      </x:c>
      <x:c r="K4" s="27" t="n">
        <x:v>0</x:v>
      </x:c>
      <x:c r="L4" s="27" t="n">
        <x:v>0</x:v>
      </x:c>
      <x:c r="M4" s="24" t="n">
        <x:v>0</x:v>
      </x:c>
      <x:c r="N4" s="24" t="n">
        <x:v>0</x:v>
      </x:c>
      <x:c r="O4" s="24" t="n">
        <x:v>0</x:v>
      </x:c>
      <x:c r="P4" s="24" t="n">
        <x:v>0</x:v>
      </x:c>
      <x:c r="Q4" s="24" t="n">
        <x:v>0</x:v>
      </x:c>
      <x:c r="R4" s="24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f>SUM(D4:U4)</x:f>
        <x:v>0</x:v>
      </x:c>
      <x:c r="W4" s="24" t="n">
        <x:f>SUM(D4,E4,J4,K4,L4)</x:f>
        <x:v>0</x:v>
      </x:c>
      <x:c r="X4" s="24" t="n">
        <x:f>ROUND(V4/18*40,1)</x:f>
        <x:v>0</x:v>
      </x:c>
      <x:c r="Y4" s="24" t="n">
        <x:f>ROUND(W4/5*15,1)</x:f>
        <x:v>0</x:v>
      </x:c>
      <x:c r="Z4" s="24" t="str"/>
      <x:c r="AA4" s="24" t="str"/>
      <x:c r="AB4" s="24" t="str"/>
      <x:c r="AC4" s="24" t="str"/>
      <x:c r="AD4" s="24" t="n">
        <x:f>SUM(X4:AC4)</x:f>
        <x:v>0</x:v>
      </x:c>
      <x:c r="AE4" s="24" t="str"/>
    </x:row>
    <x:row r="5">
      <x:c r="A5" s="24" t="str">
        <x:v>1반</x:v>
      </x:c>
      <x:c r="B5" s="24" t="str">
        <x:v>2조</x:v>
      </x:c>
      <x:c r="C5" s="24" t="str"/>
      <x:c r="D5" s="27" t="n">
        <x:v>0</x:v>
      </x:c>
      <x:c r="E5" s="27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7" t="n">
        <x:v>0</x:v>
      </x:c>
      <x:c r="K5" s="27" t="n">
        <x:v>0</x:v>
      </x:c>
      <x:c r="L5" s="27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f>SUM(D5:U5)</x:f>
        <x:v>0</x:v>
      </x:c>
      <x:c r="W5" s="24" t="n">
        <x:f>SUM(D5,E5,J5,K5,L5)</x:f>
        <x:v>0</x:v>
      </x:c>
      <x:c r="X5" s="24" t="n">
        <x:f>ROUND(V5/18*40,1)</x:f>
        <x:v>0</x:v>
      </x:c>
      <x:c r="Y5" s="24" t="n">
        <x:f>ROUND(W5/5*15,1)</x:f>
        <x:v>0</x:v>
      </x:c>
      <x:c r="Z5" s="24" t="str"/>
      <x:c r="AA5" s="24" t="str"/>
      <x:c r="AB5" s="24" t="str"/>
      <x:c r="AC5" s="24" t="str"/>
      <x:c r="AD5" s="24" t="n">
        <x:f>SUM(X5:AC5)</x:f>
        <x:v>0</x:v>
      </x:c>
      <x:c r="AE5" s="24" t="str"/>
    </x:row>
    <x:row r="6">
      <x:c r="A6" s="24" t="str">
        <x:v>1반</x:v>
      </x:c>
      <x:c r="B6" s="24" t="str">
        <x:v>3조</x:v>
      </x:c>
      <x:c r="C6" s="24" t="str"/>
      <x:c r="D6" s="27" t="n">
        <x:v>0</x:v>
      </x:c>
      <x:c r="E6" s="27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7" t="n">
        <x:v>0</x:v>
      </x:c>
      <x:c r="K6" s="27" t="n">
        <x:v>0</x:v>
      </x:c>
      <x:c r="L6" s="27" t="n">
        <x:v>0</x:v>
      </x:c>
      <x:c r="M6" s="24" t="n">
        <x:v>0</x:v>
      </x:c>
      <x:c r="N6" s="24" t="n">
        <x:v>0</x:v>
      </x:c>
      <x:c r="O6" s="24" t="n">
        <x:v>0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f>SUM(D6:U6)</x:f>
        <x:v>0</x:v>
      </x:c>
      <x:c r="W6" s="24" t="n">
        <x:f>SUM(D6,E6,J6,K6,L6)</x:f>
        <x:v>0</x:v>
      </x:c>
      <x:c r="X6" s="24" t="n">
        <x:f>ROUND(V6/18*40,1)</x:f>
        <x:v>0</x:v>
      </x:c>
      <x:c r="Y6" s="24" t="n">
        <x:f>ROUND(W6/5*15,1)</x:f>
        <x:v>0</x:v>
      </x:c>
      <x:c r="Z6" s="24" t="str"/>
      <x:c r="AA6" s="24" t="str"/>
      <x:c r="AB6" s="24" t="str"/>
      <x:c r="AC6" s="24" t="str"/>
      <x:c r="AD6" s="24" t="n">
        <x:f>SUM(X6:AC6)</x:f>
        <x:v>0</x:v>
      </x:c>
      <x:c r="AE6" s="24" t="str"/>
    </x:row>
    <x:row r="7">
      <x:c r="A7" s="24" t="str">
        <x:v>1반</x:v>
      </x:c>
      <x:c r="B7" s="24" t="str">
        <x:v>4조</x:v>
      </x:c>
      <x:c r="C7" s="24" t="str"/>
      <x:c r="D7" s="27" t="n">
        <x:v>0</x:v>
      </x:c>
      <x:c r="E7" s="27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v>0</x:v>
      </x:c>
      <x:c r="J7" s="27" t="n">
        <x:v>0</x:v>
      </x:c>
      <x:c r="K7" s="27" t="n">
        <x:v>0</x:v>
      </x:c>
      <x:c r="L7" s="27" t="n">
        <x:v>0</x:v>
      </x:c>
      <x:c r="M7" s="24" t="n">
        <x:v>0</x:v>
      </x:c>
      <x:c r="N7" s="24" t="n">
        <x:v>0</x:v>
      </x:c>
      <x:c r="O7" s="24" t="n">
        <x:v>0</x:v>
      </x:c>
      <x:c r="P7" s="24" t="n">
        <x:v>0</x:v>
      </x:c>
      <x:c r="Q7" s="24" t="n">
        <x:v>0</x:v>
      </x:c>
      <x:c r="R7" s="24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f>SUM(D7:U7)</x:f>
        <x:v>0</x:v>
      </x:c>
      <x:c r="W7" s="24" t="n">
        <x:f>SUM(D7,E7,J7,K7,L7)</x:f>
        <x:v>0</x:v>
      </x:c>
      <x:c r="X7" s="24" t="n">
        <x:f>ROUND(V7/18*40,1)</x:f>
        <x:v>0</x:v>
      </x:c>
      <x:c r="Y7" s="24" t="n">
        <x:f>ROUND(W7/5*15,1)</x:f>
        <x:v>0</x:v>
      </x:c>
      <x:c r="Z7" s="24" t="str"/>
      <x:c r="AA7" s="24" t="str"/>
      <x:c r="AB7" s="24" t="str"/>
      <x:c r="AC7" s="24" t="str"/>
      <x:c r="AD7" s="24" t="n">
        <x:f>SUM(X7:AC7)</x:f>
        <x:v>0</x:v>
      </x:c>
      <x:c r="AE7" s="24" t="str"/>
    </x:row>
    <x:row r="8">
      <x:c r="A8" s="24" t="str">
        <x:v>1반</x:v>
      </x:c>
      <x:c r="B8" s="24" t="str">
        <x:v>5조</x:v>
      </x:c>
      <x:c r="C8" s="24" t="str"/>
      <x:c r="D8" s="27" t="n">
        <x:v>0</x:v>
      </x:c>
      <x:c r="E8" s="27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v>0</x:v>
      </x:c>
      <x:c r="J8" s="27" t="n">
        <x:v>0</x:v>
      </x:c>
      <x:c r="K8" s="27" t="n">
        <x:v>0</x:v>
      </x:c>
      <x:c r="L8" s="27" t="n">
        <x:v>0</x:v>
      </x:c>
      <x:c r="M8" s="24" t="n">
        <x:v>0</x:v>
      </x:c>
      <x:c r="N8" s="24" t="n">
        <x:v>0</x:v>
      </x:c>
      <x:c r="O8" s="24" t="n">
        <x:v>0</x:v>
      </x:c>
      <x:c r="P8" s="24" t="n">
        <x:v>0</x:v>
      </x:c>
      <x:c r="Q8" s="24" t="n">
        <x:v>0</x:v>
      </x:c>
      <x:c r="R8" s="24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f>SUM(D8:U8)</x:f>
        <x:v>0</x:v>
      </x:c>
      <x:c r="W8" s="24" t="n">
        <x:f>SUM(D8,E8,J8,K8,L8)</x:f>
        <x:v>0</x:v>
      </x:c>
      <x:c r="X8" s="24" t="n">
        <x:f>ROUND(V8/18*40,1)</x:f>
        <x:v>0</x:v>
      </x:c>
      <x:c r="Y8" s="24" t="n">
        <x:f>ROUND(W8/5*15,1)</x:f>
        <x:v>0</x:v>
      </x:c>
      <x:c r="Z8" s="24" t="str"/>
      <x:c r="AA8" s="24" t="str"/>
      <x:c r="AB8" s="24" t="str"/>
      <x:c r="AC8" s="24" t="str"/>
      <x:c r="AD8" s="24" t="n">
        <x:f>SUM(X8:AC8)</x:f>
        <x:v>0</x:v>
      </x:c>
      <x:c r="AE8" s="24" t="str"/>
    </x:row>
    <x:row r="9">
      <x:c r="A9" s="24" t="str">
        <x:v>2반</x:v>
      </x:c>
      <x:c r="B9" s="24" t="str">
        <x:v>1조</x:v>
      </x:c>
      <x:c r="C9" s="24" t="str"/>
      <x:c r="D9" s="27" t="n">
        <x:v>0</x:v>
      </x:c>
      <x:c r="E9" s="27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  <x:c r="J9" s="27" t="n">
        <x:v>0</x:v>
      </x:c>
      <x:c r="K9" s="27" t="n">
        <x:v>0</x:v>
      </x:c>
      <x:c r="L9" s="27" t="n">
        <x:v>0</x:v>
      </x:c>
      <x:c r="M9" s="24" t="n">
        <x:v>0</x:v>
      </x:c>
      <x:c r="N9" s="24" t="n">
        <x:v>0</x:v>
      </x:c>
      <x:c r="O9" s="24" t="n">
        <x:v>0</x:v>
      </x:c>
      <x:c r="P9" s="24" t="n">
        <x:v>0</x:v>
      </x:c>
      <x:c r="Q9" s="24" t="n">
        <x:v>0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f>SUM(D9:U9)</x:f>
        <x:v>0</x:v>
      </x:c>
      <x:c r="W9" s="24" t="n">
        <x:f>SUM(D9,E9,J9,K9,L9)</x:f>
        <x:v>0</x:v>
      </x:c>
      <x:c r="X9" s="24" t="n">
        <x:f>ROUND(V9/18*40,1)</x:f>
        <x:v>0</x:v>
      </x:c>
      <x:c r="Y9" s="24" t="n">
        <x:f>ROUND(W9/5*15,1)</x:f>
        <x:v>0</x:v>
      </x:c>
      <x:c r="Z9" s="24" t="str"/>
      <x:c r="AA9" s="24" t="str"/>
      <x:c r="AB9" s="24" t="str"/>
      <x:c r="AC9" s="24" t="str"/>
      <x:c r="AD9" s="24" t="n">
        <x:f>SUM(X9:AC9)</x:f>
        <x:v>0</x:v>
      </x:c>
      <x:c r="AE9" s="24" t="str"/>
    </x:row>
    <x:row r="10">
      <x:c r="A10" s="24" t="str">
        <x:v>2반</x:v>
      </x:c>
      <x:c r="B10" s="24" t="str">
        <x:v>2조</x:v>
      </x:c>
      <x:c r="C10" s="24" t="str"/>
      <x:c r="D10" s="27" t="n">
        <x:v>0</x:v>
      </x:c>
      <x:c r="E10" s="27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v>0</x:v>
      </x:c>
      <x:c r="J10" s="27" t="n">
        <x:v>0</x:v>
      </x:c>
      <x:c r="K10" s="27" t="n">
        <x:v>0</x:v>
      </x:c>
      <x:c r="L10" s="27" t="n">
        <x:v>0</x:v>
      </x:c>
      <x:c r="M10" s="24" t="n">
        <x:v>0</x:v>
      </x:c>
      <x:c r="N10" s="24" t="n">
        <x:v>0</x:v>
      </x:c>
      <x:c r="O10" s="24" t="n">
        <x:v>0</x:v>
      </x:c>
      <x:c r="P10" s="24" t="n">
        <x:v>0</x:v>
      </x:c>
      <x:c r="Q10" s="24" t="n">
        <x:v>0</x:v>
      </x:c>
      <x:c r="R10" s="24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f>SUM(D10:U10)</x:f>
        <x:v>0</x:v>
      </x:c>
      <x:c r="W10" s="24" t="n">
        <x:f>SUM(D10,E10,J10,K10,L10)</x:f>
        <x:v>0</x:v>
      </x:c>
      <x:c r="X10" s="24" t="n">
        <x:f>ROUND(V10/18*40,1)</x:f>
        <x:v>0</x:v>
      </x:c>
      <x:c r="Y10" s="24" t="n">
        <x:f>ROUND(W10/5*15,1)</x:f>
        <x:v>0</x:v>
      </x:c>
      <x:c r="Z10" s="24" t="str"/>
      <x:c r="AA10" s="24" t="str"/>
      <x:c r="AB10" s="24" t="str"/>
      <x:c r="AC10" s="24" t="str"/>
      <x:c r="AD10" s="24" t="n">
        <x:f>SUM(X10:AC10)</x:f>
        <x:v>0</x:v>
      </x:c>
      <x:c r="AE10" s="24" t="str"/>
    </x:row>
    <x:row r="11">
      <x:c r="A11" s="24" t="str">
        <x:v>2반</x:v>
      </x:c>
      <x:c r="B11" s="24" t="str">
        <x:v>3조</x:v>
      </x:c>
      <x:c r="C11" s="24" t="str"/>
      <x:c r="D11" s="27" t="n">
        <x:v>0</x:v>
      </x:c>
      <x:c r="E11" s="27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v>0</x:v>
      </x:c>
      <x:c r="J11" s="27" t="n">
        <x:v>0</x:v>
      </x:c>
      <x:c r="K11" s="27" t="n">
        <x:v>0</x:v>
      </x:c>
      <x:c r="L11" s="27" t="n">
        <x:v>0</x:v>
      </x:c>
      <x:c r="M11" s="24" t="n">
        <x:v>0</x:v>
      </x:c>
      <x:c r="N11" s="24" t="n">
        <x:v>0</x:v>
      </x:c>
      <x:c r="O11" s="24" t="n">
        <x:v>0</x:v>
      </x:c>
      <x:c r="P11" s="24" t="n">
        <x:v>0</x:v>
      </x:c>
      <x:c r="Q11" s="24" t="n">
        <x:v>0</x:v>
      </x:c>
      <x:c r="R11" s="24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f>SUM(D11:U11)</x:f>
        <x:v>0</x:v>
      </x:c>
      <x:c r="W11" s="24" t="n">
        <x:f>SUM(D11,E11,J11,K11,L11)</x:f>
        <x:v>0</x:v>
      </x:c>
      <x:c r="X11" s="24" t="n">
        <x:f>ROUND(V11/18*40,1)</x:f>
        <x:v>0</x:v>
      </x:c>
      <x:c r="Y11" s="24" t="n">
        <x:f>ROUND(W11/5*15,1)</x:f>
        <x:v>0</x:v>
      </x:c>
      <x:c r="Z11" s="24" t="str"/>
      <x:c r="AA11" s="24" t="str"/>
      <x:c r="AB11" s="24" t="str"/>
      <x:c r="AC11" s="24" t="str"/>
      <x:c r="AD11" s="24" t="n">
        <x:f>SUM(X11:AC11)</x:f>
        <x:v>0</x:v>
      </x:c>
      <x:c r="AE11" s="24" t="str"/>
    </x:row>
    <x:row r="12">
      <x:c r="A12" s="24" t="str">
        <x:v>2반</x:v>
      </x:c>
      <x:c r="B12" s="24" t="str">
        <x:v>4조</x:v>
      </x:c>
      <x:c r="C12" s="24" t="str"/>
      <x:c r="D12" s="27" t="n">
        <x:v>0</x:v>
      </x:c>
      <x:c r="E12" s="27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v>0</x:v>
      </x:c>
      <x:c r="J12" s="27" t="n">
        <x:v>0</x:v>
      </x:c>
      <x:c r="K12" s="27" t="n">
        <x:v>0</x:v>
      </x:c>
      <x:c r="L12" s="27" t="n">
        <x:v>0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f>SUM(D12:U12)</x:f>
        <x:v>0</x:v>
      </x:c>
      <x:c r="W12" s="24" t="n">
        <x:f>SUM(D12,E12,J12,K12,L12)</x:f>
        <x:v>0</x:v>
      </x:c>
      <x:c r="X12" s="24" t="n">
        <x:f>ROUND(V12/18*40,1)</x:f>
        <x:v>0</x:v>
      </x:c>
      <x:c r="Y12" s="24" t="n">
        <x:f>ROUND(W12/5*15,1)</x:f>
        <x:v>0</x:v>
      </x:c>
      <x:c r="Z12" s="24" t="str"/>
      <x:c r="AA12" s="24" t="str"/>
      <x:c r="AB12" s="24" t="str"/>
      <x:c r="AC12" s="24" t="str"/>
      <x:c r="AD12" s="24" t="n">
        <x:f>SUM(X12:AC12)</x:f>
        <x:v>0</x:v>
      </x:c>
      <x:c r="AE12" s="24" t="str"/>
    </x:row>
    <x:row r="13">
      <x:c r="A13" s="24" t="str">
        <x:v>2반</x:v>
      </x:c>
      <x:c r="B13" s="24" t="str">
        <x:v>5조</x:v>
      </x:c>
      <x:c r="C13" s="24" t="str"/>
      <x:c r="D13" s="27" t="n">
        <x:v>0</x:v>
      </x:c>
      <x:c r="E13" s="27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7" t="n">
        <x:v>0</x:v>
      </x:c>
      <x:c r="K13" s="27" t="n">
        <x:v>0</x:v>
      </x:c>
      <x:c r="L13" s="27" t="n">
        <x:v>0</x:v>
      </x:c>
      <x:c r="M13" s="24" t="n">
        <x:v>0</x:v>
      </x:c>
      <x:c r="N13" s="24" t="n">
        <x:v>0</x:v>
      </x:c>
      <x:c r="O13" s="24" t="n">
        <x:v>0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f>SUM(D13:U13)</x:f>
        <x:v>0</x:v>
      </x:c>
      <x:c r="W13" s="24" t="n">
        <x:f>SUM(D13,E13,J13,K13,L13)</x:f>
        <x:v>0</x:v>
      </x:c>
      <x:c r="X13" s="24" t="n">
        <x:f>ROUND(V13/18*40,1)</x:f>
        <x:v>0</x:v>
      </x:c>
      <x:c r="Y13" s="24" t="n">
        <x:f>ROUND(W13/5*15,1)</x:f>
        <x:v>0</x:v>
      </x:c>
      <x:c r="Z13" s="24" t="str"/>
      <x:c r="AA13" s="24" t="str"/>
      <x:c r="AB13" s="24" t="str"/>
      <x:c r="AC13" s="24" t="str"/>
      <x:c r="AD13" s="24" t="n">
        <x:f>SUM(X13:AC13)</x:f>
        <x:v>0</x:v>
      </x:c>
      <x:c r="AE13" s="24" t="str"/>
    </x:row>
    <x:row r="14">
      <x:c r="A14" s="24" t="str">
        <x:v>3반</x:v>
      </x:c>
      <x:c r="B14" s="24" t="str">
        <x:v>1조</x:v>
      </x:c>
      <x:c r="C14" s="24" t="str"/>
      <x:c r="D14" s="27" t="n">
        <x:v>0</x:v>
      </x:c>
      <x:c r="E14" s="27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7" t="n">
        <x:v>0</x:v>
      </x:c>
      <x:c r="K14" s="27" t="n">
        <x:v>0</x:v>
      </x:c>
      <x:c r="L14" s="27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f>SUM(D14:U14)</x:f>
        <x:v>0</x:v>
      </x:c>
      <x:c r="W14" s="24" t="n">
        <x:f>SUM(D14,E14,J14,K14,L14)</x:f>
        <x:v>0</x:v>
      </x:c>
      <x:c r="X14" s="24" t="n">
        <x:f>ROUND(V14/18*40,1)</x:f>
        <x:v>0</x:v>
      </x:c>
      <x:c r="Y14" s="24" t="n">
        <x:f>ROUND(W14/5*15,1)</x:f>
        <x:v>0</x:v>
      </x:c>
      <x:c r="Z14" s="24" t="str"/>
      <x:c r="AA14" s="24" t="str"/>
      <x:c r="AB14" s="24" t="str"/>
      <x:c r="AC14" s="24" t="str"/>
      <x:c r="AD14" s="24" t="n">
        <x:f>SUM(X14:AC14)</x:f>
        <x:v>0</x:v>
      </x:c>
      <x:c r="AE14" s="24" t="str"/>
    </x:row>
    <x:row r="15">
      <x:c r="A15" s="24" t="str">
        <x:v>3반</x:v>
      </x:c>
      <x:c r="B15" s="24" t="str">
        <x:v>2조</x:v>
      </x:c>
      <x:c r="C15" s="24" t="str"/>
      <x:c r="D15" s="27" t="n">
        <x:v>0</x:v>
      </x:c>
      <x:c r="E15" s="27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v>0</x:v>
      </x:c>
      <x:c r="J15" s="27" t="n">
        <x:v>0</x:v>
      </x:c>
      <x:c r="K15" s="27" t="n">
        <x:v>0</x:v>
      </x:c>
      <x:c r="L15" s="27" t="n">
        <x:v>0</x:v>
      </x:c>
      <x:c r="M15" s="24" t="n">
        <x:v>0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f>SUM(D15:U15)</x:f>
        <x:v>0</x:v>
      </x:c>
      <x:c r="W15" s="24" t="n">
        <x:f>SUM(D15,E15,J15,K15,L15)</x:f>
        <x:v>0</x:v>
      </x:c>
      <x:c r="X15" s="24" t="n">
        <x:f>ROUND(V15/18*40,1)</x:f>
        <x:v>0</x:v>
      </x:c>
      <x:c r="Y15" s="24" t="n">
        <x:f>ROUND(W15/5*15,1)</x:f>
        <x:v>0</x:v>
      </x:c>
      <x:c r="Z15" s="24" t="str"/>
      <x:c r="AA15" s="24" t="str"/>
      <x:c r="AB15" s="24" t="str"/>
      <x:c r="AC15" s="24" t="str"/>
      <x:c r="AD15" s="24" t="n">
        <x:f>SUM(X15:AC15)</x:f>
        <x:v>0</x:v>
      </x:c>
      <x:c r="AE15" s="24" t="str"/>
    </x:row>
    <x:row r="16">
      <x:c r="A16" s="24" t="str">
        <x:v>3반</x:v>
      </x:c>
      <x:c r="B16" s="24" t="str">
        <x:v>3조</x:v>
      </x:c>
      <x:c r="C16" s="24" t="str"/>
      <x:c r="D16" s="27" t="n">
        <x:v>0</x:v>
      </x:c>
      <x:c r="E16" s="27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7" t="n">
        <x:v>0</x:v>
      </x:c>
      <x:c r="K16" s="27" t="n">
        <x:v>0</x:v>
      </x:c>
      <x:c r="L16" s="27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f>SUM(D16:U16)</x:f>
        <x:v>0</x:v>
      </x:c>
      <x:c r="W16" s="24" t="n">
        <x:f>SUM(D16,E16,J16,K16,L16)</x:f>
        <x:v>0</x:v>
      </x:c>
      <x:c r="X16" s="24" t="n">
        <x:f>ROUND(V16/18*40,1)</x:f>
        <x:v>0</x:v>
      </x:c>
      <x:c r="Y16" s="24" t="n">
        <x:f>ROUND(W16/5*15,1)</x:f>
        <x:v>0</x:v>
      </x:c>
      <x:c r="Z16" s="24" t="str"/>
      <x:c r="AA16" s="24" t="str"/>
      <x:c r="AB16" s="24" t="str"/>
      <x:c r="AC16" s="24" t="str"/>
      <x:c r="AD16" s="24" t="n">
        <x:f>SUM(X16:AC16)</x:f>
        <x:v>0</x:v>
      </x:c>
      <x:c r="AE16" s="24" t="str"/>
    </x:row>
    <x:row r="17">
      <x:c r="A17" s="24" t="str">
        <x:v>3반</x:v>
      </x:c>
      <x:c r="B17" s="24" t="str">
        <x:v>4조</x:v>
      </x:c>
      <x:c r="C17" s="24" t="str"/>
      <x:c r="D17" s="27" t="n">
        <x:v>0</x:v>
      </x:c>
      <x:c r="E17" s="27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v>0</x:v>
      </x:c>
      <x:c r="J17" s="27" t="n">
        <x:v>0</x:v>
      </x:c>
      <x:c r="K17" s="27" t="n">
        <x:v>0</x:v>
      </x:c>
      <x:c r="L17" s="27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f>SUM(D17:U17)</x:f>
        <x:v>0</x:v>
      </x:c>
      <x:c r="W17" s="24" t="n">
        <x:f>SUM(D17,E17,J17,K17,L17)</x:f>
        <x:v>0</x:v>
      </x:c>
      <x:c r="X17" s="24" t="n">
        <x:f>ROUND(V17/18*40,1)</x:f>
        <x:v>0</x:v>
      </x:c>
      <x:c r="Y17" s="24" t="n">
        <x:f>ROUND(W17/5*15,1)</x:f>
        <x:v>0</x:v>
      </x:c>
      <x:c r="Z17" s="24" t="str"/>
      <x:c r="AA17" s="24" t="str"/>
      <x:c r="AB17" s="24" t="str"/>
      <x:c r="AC17" s="24" t="str"/>
      <x:c r="AD17" s="24" t="n">
        <x:f>SUM(X17:AC17)</x:f>
        <x:v>0</x:v>
      </x:c>
      <x:c r="AE17" s="24" t="str"/>
    </x:row>
    <x:row r="18">
      <x:c r="A18" s="24" t="str">
        <x:v>3반</x:v>
      </x:c>
      <x:c r="B18" s="24" t="str">
        <x:v>5조</x:v>
      </x:c>
      <x:c r="C18" s="24" t="str"/>
      <x:c r="D18" s="27" t="n">
        <x:v>0</x:v>
      </x:c>
      <x:c r="E18" s="27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v>0</x:v>
      </x:c>
      <x:c r="J18" s="27" t="n">
        <x:v>0</x:v>
      </x:c>
      <x:c r="K18" s="27" t="n">
        <x:v>0</x:v>
      </x:c>
      <x:c r="L18" s="27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</x:v>
      </x:c>
      <x:c r="R18" s="24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f>SUM(D18:U18)</x:f>
        <x:v>0</x:v>
      </x:c>
      <x:c r="W18" s="24" t="n">
        <x:f>SUM(D18,E18,J18,K18,L18)</x:f>
        <x:v>0</x:v>
      </x:c>
      <x:c r="X18" s="24" t="n">
        <x:f>ROUND(V18/18*40,1)</x:f>
        <x:v>0</x:v>
      </x:c>
      <x:c r="Y18" s="24" t="n">
        <x:f>ROUND(W18/5*15,1)</x:f>
        <x:v>0</x:v>
      </x:c>
      <x:c r="Z18" s="24" t="str"/>
      <x:c r="AA18" s="24" t="str"/>
      <x:c r="AB18" s="24" t="str"/>
      <x:c r="AC18" s="24" t="str"/>
      <x:c r="AD18" s="24" t="n">
        <x:f>SUM(X18:AC18)</x:f>
        <x:v>0</x:v>
      </x:c>
      <x:c r="AE18" s="24" t="str"/>
    </x:row>
    <x:row r="19">
      <x:c r="A19" s="24" t="str">
        <x:v>4반</x:v>
      </x:c>
      <x:c r="B19" s="24" t="str">
        <x:v>1조</x:v>
      </x:c>
      <x:c r="C19" s="24" t="str"/>
      <x:c r="D19" s="27" t="n">
        <x:v>0</x:v>
      </x:c>
      <x:c r="E19" s="27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v>0</x:v>
      </x:c>
      <x:c r="J19" s="27" t="n">
        <x:v>0</x:v>
      </x:c>
      <x:c r="K19" s="27" t="n">
        <x:v>0</x:v>
      </x:c>
      <x:c r="L19" s="27" t="n">
        <x:v>0</x:v>
      </x:c>
      <x:c r="M19" s="24" t="n">
        <x:v>0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f>SUM(D19:U19)</x:f>
        <x:v>0</x:v>
      </x:c>
      <x:c r="W19" s="24" t="n">
        <x:f>SUM(D19,E19,J19,K19,L19)</x:f>
        <x:v>0</x:v>
      </x:c>
      <x:c r="X19" s="24" t="n">
        <x:f>ROUND(V19/18*40,1)</x:f>
        <x:v>0</x:v>
      </x:c>
      <x:c r="Y19" s="24" t="n">
        <x:f>ROUND(W19/5*15,1)</x:f>
        <x:v>0</x:v>
      </x:c>
      <x:c r="Z19" s="24" t="str"/>
      <x:c r="AA19" s="24" t="str"/>
      <x:c r="AB19" s="24" t="str"/>
      <x:c r="AC19" s="24" t="str"/>
      <x:c r="AD19" s="24" t="n">
        <x:f>SUM(X19:AC19)</x:f>
        <x:v>0</x:v>
      </x:c>
      <x:c r="AE19" s="24" t="str"/>
    </x:row>
    <x:row r="20">
      <x:c r="A20" s="24" t="str">
        <x:v>4반</x:v>
      </x:c>
      <x:c r="B20" s="24" t="str">
        <x:v>2조</x:v>
      </x:c>
      <x:c r="C20" s="24" t="str"/>
      <x:c r="D20" s="27" t="n">
        <x:v>0</x:v>
      </x:c>
      <x:c r="E20" s="27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v>0</x:v>
      </x:c>
      <x:c r="J20" s="27" t="n">
        <x:v>0</x:v>
      </x:c>
      <x:c r="K20" s="27" t="n">
        <x:v>0</x:v>
      </x:c>
      <x:c r="L20" s="27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f>SUM(D20:U20)</x:f>
        <x:v>0</x:v>
      </x:c>
      <x:c r="W20" s="24" t="n">
        <x:f>SUM(D20,E20,J20,K20,L20)</x:f>
        <x:v>0</x:v>
      </x:c>
      <x:c r="X20" s="24" t="n">
        <x:f>ROUND(V20/18*40,1)</x:f>
        <x:v>0</x:v>
      </x:c>
      <x:c r="Y20" s="24" t="n">
        <x:f>ROUND(W20/5*15,1)</x:f>
        <x:v>0</x:v>
      </x:c>
      <x:c r="Z20" s="24" t="str"/>
      <x:c r="AA20" s="24" t="str"/>
      <x:c r="AB20" s="24" t="str"/>
      <x:c r="AC20" s="24" t="str"/>
      <x:c r="AD20" s="24" t="n">
        <x:f>SUM(X20:AC20)</x:f>
        <x:v>0</x:v>
      </x:c>
      <x:c r="AE20" s="24" t="str"/>
    </x:row>
    <x:row r="21">
      <x:c r="A21" s="24" t="str">
        <x:v>4반</x:v>
      </x:c>
      <x:c r="B21" s="24" t="str">
        <x:v>3조</x:v>
      </x:c>
      <x:c r="C21" s="24" t="str"/>
      <x:c r="D21" s="27" t="n">
        <x:v>0</x:v>
      </x:c>
      <x:c r="E21" s="27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v>0</x:v>
      </x:c>
      <x:c r="J21" s="27" t="n">
        <x:v>0</x:v>
      </x:c>
      <x:c r="K21" s="27" t="n">
        <x:v>0</x:v>
      </x:c>
      <x:c r="L21" s="27" t="n">
        <x:v>0</x:v>
      </x:c>
      <x:c r="M21" s="24" t="n">
        <x:v>0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f>SUM(D21:U21)</x:f>
        <x:v>0</x:v>
      </x:c>
      <x:c r="W21" s="24" t="n">
        <x:f>SUM(D21,E21,J21,K21,L21)</x:f>
        <x:v>0</x:v>
      </x:c>
      <x:c r="X21" s="24" t="n">
        <x:f>ROUND(V21/18*40,1)</x:f>
        <x:v>0</x:v>
      </x:c>
      <x:c r="Y21" s="24" t="n">
        <x:f>ROUND(W21/5*15,1)</x:f>
        <x:v>0</x:v>
      </x:c>
      <x:c r="Z21" s="24" t="str"/>
      <x:c r="AA21" s="24" t="str"/>
      <x:c r="AB21" s="24" t="str"/>
      <x:c r="AC21" s="24" t="str"/>
      <x:c r="AD21" s="24" t="n">
        <x:f>SUM(X21:AC21)</x:f>
        <x:v>0</x:v>
      </x:c>
      <x:c r="AE21" s="24" t="str"/>
    </x:row>
    <x:row r="22">
      <x:c r="A22" s="24" t="str">
        <x:v>4반</x:v>
      </x:c>
      <x:c r="B22" s="24" t="str">
        <x:v>4조</x:v>
      </x:c>
      <x:c r="C22" s="24" t="str"/>
      <x:c r="D22" s="27" t="n">
        <x:v>0</x:v>
      </x:c>
      <x:c r="E22" s="27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v>0</x:v>
      </x:c>
      <x:c r="J22" s="27" t="n">
        <x:v>0</x:v>
      </x:c>
      <x:c r="K22" s="27" t="n">
        <x:v>0</x:v>
      </x:c>
      <x:c r="L22" s="27" t="n">
        <x:v>0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f>SUM(D22:U22)</x:f>
        <x:v>0</x:v>
      </x:c>
      <x:c r="W22" s="24" t="n">
        <x:f>SUM(D22,E22,J22,K22,L22)</x:f>
        <x:v>0</x:v>
      </x:c>
      <x:c r="X22" s="24" t="n">
        <x:f>ROUND(V22/18*40,1)</x:f>
        <x:v>0</x:v>
      </x:c>
      <x:c r="Y22" s="24" t="n">
        <x:f>ROUND(W22/5*15,1)</x:f>
        <x:v>0</x:v>
      </x:c>
      <x:c r="Z22" s="24" t="str"/>
      <x:c r="AA22" s="24" t="str"/>
      <x:c r="AB22" s="24" t="str"/>
      <x:c r="AC22" s="24" t="str"/>
      <x:c r="AD22" s="24" t="n">
        <x:f>SUM(X22:AC22)</x:f>
        <x:v>0</x:v>
      </x:c>
      <x:c r="AE22" s="24" t="str"/>
    </x:row>
    <x:row r="23">
      <x:c r="A23" s="24" t="str">
        <x:v>4반</x:v>
      </x:c>
      <x:c r="B23" s="24" t="str">
        <x:v>5조</x:v>
      </x:c>
      <x:c r="C23" s="24" t="str"/>
      <x:c r="D23" s="27" t="n">
        <x:v>0</x:v>
      </x:c>
      <x:c r="E23" s="27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v>0</x:v>
      </x:c>
      <x:c r="J23" s="27" t="n">
        <x:v>0</x:v>
      </x:c>
      <x:c r="K23" s="27" t="n">
        <x:v>0</x:v>
      </x:c>
      <x:c r="L23" s="27" t="n">
        <x:v>0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f>SUM(D23:U23)</x:f>
        <x:v>0</x:v>
      </x:c>
      <x:c r="W23" s="24" t="n">
        <x:f>SUM(D23,E23,J23,K23,L23)</x:f>
        <x:v>0</x:v>
      </x:c>
      <x:c r="X23" s="24" t="n">
        <x:f>ROUND(V23/18*40,1)</x:f>
        <x:v>0</x:v>
      </x:c>
      <x:c r="Y23" s="24" t="n">
        <x:f>ROUND(W23/5*15,1)</x:f>
        <x:v>0</x:v>
      </x:c>
      <x:c r="Z23" s="24" t="str"/>
      <x:c r="AA23" s="24" t="str"/>
      <x:c r="AB23" s="24" t="str"/>
      <x:c r="AC23" s="24" t="str"/>
      <x:c r="AD23" s="24" t="n">
        <x:f>SUM(X23:AC23)</x:f>
        <x:v>0</x:v>
      </x:c>
      <x:c r="AE23" s="24" t="str"/>
    </x:row>
    <x:row r="25">
      <x:c r="A25" s="36" t="str">
        <x:v>주의: B01, B02, B07, B08, B09는 고위험 오류입니다. 고위험 오류는 발견 여부뿐 아니라 왜 즉시 위해가 되는지 설명할 수 있어야 합니다.</x:v>
      </x:c>
    </x:row>
  </x:sheetData>
  <x:mergeCells>
    <x:mergeCell ref="A1:AE1"/>
    <x:mergeCell ref="A25:AE25"/>
  </x:mergeCells>
  <x:conditionalFormatting sqref="AD4:AD23">
    <x:cfRule type="cellIs" dxfId="2" priority="1" operator="lessThan">
      <x:formula>70</x:formula>
    </x:cfRule>
    <x:cfRule type="cellIs" dxfId="3" priority="2" operator="greaterThanOrEqual">
      <x:formula>90</x:formula>
    </x:cfRule>
  </x:conditionalFormatting>
  <x:dataValidations count="4">
    <x:dataValidation type="list" sqref="D4:U23">
      <x:formula1>"0,1"</x:formula1>
    </x:dataValidation>
    <x:dataValidation type="whole" operator="between" sqref="Z4:AA23">
      <x:formula1>0</x:formula1>
      <x:formula2>15</x:formula2>
    </x:dataValidation>
    <x:dataValidation type="whole" operator="between" sqref="AB4:AB23">
      <x:formula1>0</x:formula1>
      <x:formula2>10</x:formula2>
    </x:dataValidation>
    <x:dataValidation type="whole" operator="between" sqref="AC4:AC23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16137cdd97140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9" hidden="0" customWidth="1"/>
    <x:col min="23" max="23" width="9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5" hidden="0" customWidth="1"/>
  </x:cols>
  <x:sheetData>
    <x:row r="1">
      <x:c r="A1" s="5" t="str">
        <x:v>CASE C 채점표 - 급성 뇌졸중 환자: 연하곤란·흡인·낙상·신경학적 악화</x:v>
      </x:c>
    </x:row>
    <x:row r="3">
      <x:c r="A3" s="14" t="str">
        <x:v>반</x:v>
      </x:c>
      <x:c r="B3" s="14" t="str">
        <x:v>조</x:v>
      </x:c>
      <x:c r="C3" s="14" t="str">
        <x:v>조원/메모</x:v>
      </x:c>
      <x:c r="D3" s="31" t="str">
        <x:v>C01</x:v>
      </x:c>
      <x:c r="E3" s="31" t="str">
        <x:v>C02</x:v>
      </x:c>
      <x:c r="F3" s="31" t="str">
        <x:v>C03</x:v>
      </x:c>
      <x:c r="G3" s="14" t="str">
        <x:v>C04</x:v>
      </x:c>
      <x:c r="H3" s="14" t="str">
        <x:v>C05</x:v>
      </x:c>
      <x:c r="I3" s="14" t="str">
        <x:v>C06</x:v>
      </x:c>
      <x:c r="J3" s="31" t="str">
        <x:v>C07</x:v>
      </x:c>
      <x:c r="K3" s="14" t="str">
        <x:v>C08</x:v>
      </x:c>
      <x:c r="L3" s="14" t="str">
        <x:v>C09</x:v>
      </x:c>
      <x:c r="M3" s="14" t="str">
        <x:v>C10</x:v>
      </x:c>
      <x:c r="N3" s="31" t="str">
        <x:v>C11</x:v>
      </x:c>
      <x:c r="O3" s="14" t="str">
        <x:v>C12</x:v>
      </x:c>
      <x:c r="P3" s="14" t="str">
        <x:v>C13</x:v>
      </x:c>
      <x:c r="Q3" s="14" t="str">
        <x:v>C14</x:v>
      </x:c>
      <x:c r="R3" s="14" t="str">
        <x:v>C15</x:v>
      </x:c>
      <x:c r="S3" s="14" t="str">
        <x:v>C16</x:v>
      </x:c>
      <x:c r="T3" s="14" t="str">
        <x:v>C17</x:v>
      </x:c>
      <x:c r="U3" s="14" t="str">
        <x:v>C18</x:v>
      </x:c>
      <x:c r="V3" s="14" t="str">
        <x:v>탐지수</x:v>
      </x:c>
      <x:c r="W3" s="14" t="str">
        <x:v>고위험수</x:v>
      </x:c>
      <x:c r="X3" s="14" t="str">
        <x:v>탐지점수(40)</x:v>
      </x:c>
      <x:c r="Y3" s="14" t="str">
        <x:v>고위험점수(15)</x:v>
      </x:c>
      <x:c r="Z3" s="14" t="str">
        <x:v>우선순위(15)</x:v>
      </x:c>
      <x:c r="AA3" s="14" t="str">
        <x:v>SBAR(15)</x:v>
      </x:c>
      <x:c r="AB3" s="14" t="str">
        <x:v>팀워크(10)</x:v>
      </x:c>
      <x:c r="AC3" s="14" t="str">
        <x:v>성찰(5)</x:v>
      </x:c>
      <x:c r="AD3" s="14" t="str">
        <x:v>총점</x:v>
      </x:c>
      <x:c r="AE3" s="14" t="str">
        <x:v>교수 피드백</x:v>
      </x:c>
    </x:row>
    <x:row r="4">
      <x:c r="A4" s="24" t="str">
        <x:v>1반</x:v>
      </x:c>
      <x:c r="B4" s="24" t="str">
        <x:v>1조</x:v>
      </x:c>
      <x:c r="C4" s="24" t="str"/>
      <x:c r="D4" s="27" t="n">
        <x:v>0</x:v>
      </x:c>
      <x:c r="E4" s="27" t="n">
        <x:v>0</x:v>
      </x:c>
      <x:c r="F4" s="27" t="n">
        <x:v>0</x:v>
      </x:c>
      <x:c r="G4" s="24" t="n">
        <x:v>0</x:v>
      </x:c>
      <x:c r="H4" s="24" t="n">
        <x:v>0</x:v>
      </x:c>
      <x:c r="I4" s="24" t="n">
        <x:v>0</x:v>
      </x:c>
      <x:c r="J4" s="27" t="n">
        <x:v>0</x:v>
      </x:c>
      <x:c r="K4" s="24" t="n">
        <x:v>0</x:v>
      </x:c>
      <x:c r="L4" s="24" t="n">
        <x:v>0</x:v>
      </x:c>
      <x:c r="M4" s="24" t="n">
        <x:v>0</x:v>
      </x:c>
      <x:c r="N4" s="27" t="n">
        <x:v>0</x:v>
      </x:c>
      <x:c r="O4" s="24" t="n">
        <x:v>0</x:v>
      </x:c>
      <x:c r="P4" s="24" t="n">
        <x:v>0</x:v>
      </x:c>
      <x:c r="Q4" s="24" t="n">
        <x:v>0</x:v>
      </x:c>
      <x:c r="R4" s="24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f>SUM(D4:U4)</x:f>
        <x:v>0</x:v>
      </x:c>
      <x:c r="W4" s="24" t="n">
        <x:f>SUM(D4,E4,F4,J4,N4)</x:f>
        <x:v>0</x:v>
      </x:c>
      <x:c r="X4" s="24" t="n">
        <x:f>ROUND(V4/18*40,1)</x:f>
        <x:v>0</x:v>
      </x:c>
      <x:c r="Y4" s="24" t="n">
        <x:f>ROUND(W4/5*15,1)</x:f>
        <x:v>0</x:v>
      </x:c>
      <x:c r="Z4" s="24" t="str"/>
      <x:c r="AA4" s="24" t="str"/>
      <x:c r="AB4" s="24" t="str"/>
      <x:c r="AC4" s="24" t="str"/>
      <x:c r="AD4" s="24" t="n">
        <x:f>SUM(X4:AC4)</x:f>
        <x:v>0</x:v>
      </x:c>
      <x:c r="AE4" s="24" t="str"/>
    </x:row>
    <x:row r="5">
      <x:c r="A5" s="24" t="str">
        <x:v>1반</x:v>
      </x:c>
      <x:c r="B5" s="24" t="str">
        <x:v>2조</x:v>
      </x:c>
      <x:c r="C5" s="24" t="str"/>
      <x:c r="D5" s="27" t="n">
        <x:v>0</x:v>
      </x:c>
      <x:c r="E5" s="27" t="n">
        <x:v>0</x:v>
      </x:c>
      <x:c r="F5" s="27" t="n">
        <x:v>0</x:v>
      </x:c>
      <x:c r="G5" s="24" t="n">
        <x:v>0</x:v>
      </x:c>
      <x:c r="H5" s="24" t="n">
        <x:v>0</x:v>
      </x:c>
      <x:c r="I5" s="24" t="n">
        <x:v>0</x:v>
      </x:c>
      <x:c r="J5" s="27" t="n">
        <x:v>0</x:v>
      </x:c>
      <x:c r="K5" s="24" t="n">
        <x:v>0</x:v>
      </x:c>
      <x:c r="L5" s="24" t="n">
        <x:v>0</x:v>
      </x:c>
      <x:c r="M5" s="24" t="n">
        <x:v>0</x:v>
      </x:c>
      <x:c r="N5" s="27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f>SUM(D5:U5)</x:f>
        <x:v>0</x:v>
      </x:c>
      <x:c r="W5" s="24" t="n">
        <x:f>SUM(D5,E5,F5,J5,N5)</x:f>
        <x:v>0</x:v>
      </x:c>
      <x:c r="X5" s="24" t="n">
        <x:f>ROUND(V5/18*40,1)</x:f>
        <x:v>0</x:v>
      </x:c>
      <x:c r="Y5" s="24" t="n">
        <x:f>ROUND(W5/5*15,1)</x:f>
        <x:v>0</x:v>
      </x:c>
      <x:c r="Z5" s="24" t="str"/>
      <x:c r="AA5" s="24" t="str"/>
      <x:c r="AB5" s="24" t="str"/>
      <x:c r="AC5" s="24" t="str"/>
      <x:c r="AD5" s="24" t="n">
        <x:f>SUM(X5:AC5)</x:f>
        <x:v>0</x:v>
      </x:c>
      <x:c r="AE5" s="24" t="str"/>
    </x:row>
    <x:row r="6">
      <x:c r="A6" s="24" t="str">
        <x:v>1반</x:v>
      </x:c>
      <x:c r="B6" s="24" t="str">
        <x:v>3조</x:v>
      </x:c>
      <x:c r="C6" s="24" t="str"/>
      <x:c r="D6" s="27" t="n">
        <x:v>0</x:v>
      </x:c>
      <x:c r="E6" s="27" t="n">
        <x:v>0</x:v>
      </x:c>
      <x:c r="F6" s="27" t="n">
        <x:v>0</x:v>
      </x:c>
      <x:c r="G6" s="24" t="n">
        <x:v>0</x:v>
      </x:c>
      <x:c r="H6" s="24" t="n">
        <x:v>0</x:v>
      </x:c>
      <x:c r="I6" s="24" t="n">
        <x:v>0</x:v>
      </x:c>
      <x:c r="J6" s="27" t="n">
        <x:v>0</x:v>
      </x:c>
      <x:c r="K6" s="24" t="n">
        <x:v>0</x:v>
      </x:c>
      <x:c r="L6" s="24" t="n">
        <x:v>0</x:v>
      </x:c>
      <x:c r="M6" s="24" t="n">
        <x:v>0</x:v>
      </x:c>
      <x:c r="N6" s="27" t="n">
        <x:v>0</x:v>
      </x:c>
      <x:c r="O6" s="24" t="n">
        <x:v>0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f>SUM(D6:U6)</x:f>
        <x:v>0</x:v>
      </x:c>
      <x:c r="W6" s="24" t="n">
        <x:f>SUM(D6,E6,F6,J6,N6)</x:f>
        <x:v>0</x:v>
      </x:c>
      <x:c r="X6" s="24" t="n">
        <x:f>ROUND(V6/18*40,1)</x:f>
        <x:v>0</x:v>
      </x:c>
      <x:c r="Y6" s="24" t="n">
        <x:f>ROUND(W6/5*15,1)</x:f>
        <x:v>0</x:v>
      </x:c>
      <x:c r="Z6" s="24" t="str"/>
      <x:c r="AA6" s="24" t="str"/>
      <x:c r="AB6" s="24" t="str"/>
      <x:c r="AC6" s="24" t="str"/>
      <x:c r="AD6" s="24" t="n">
        <x:f>SUM(X6:AC6)</x:f>
        <x:v>0</x:v>
      </x:c>
      <x:c r="AE6" s="24" t="str"/>
    </x:row>
    <x:row r="7">
      <x:c r="A7" s="24" t="str">
        <x:v>1반</x:v>
      </x:c>
      <x:c r="B7" s="24" t="str">
        <x:v>4조</x:v>
      </x:c>
      <x:c r="C7" s="24" t="str"/>
      <x:c r="D7" s="27" t="n">
        <x:v>0</x:v>
      </x:c>
      <x:c r="E7" s="27" t="n">
        <x:v>0</x:v>
      </x:c>
      <x:c r="F7" s="27" t="n">
        <x:v>0</x:v>
      </x:c>
      <x:c r="G7" s="24" t="n">
        <x:v>0</x:v>
      </x:c>
      <x:c r="H7" s="24" t="n">
        <x:v>0</x:v>
      </x:c>
      <x:c r="I7" s="24" t="n">
        <x:v>0</x:v>
      </x:c>
      <x:c r="J7" s="27" t="n">
        <x:v>0</x:v>
      </x:c>
      <x:c r="K7" s="24" t="n">
        <x:v>0</x:v>
      </x:c>
      <x:c r="L7" s="24" t="n">
        <x:v>0</x:v>
      </x:c>
      <x:c r="M7" s="24" t="n">
        <x:v>0</x:v>
      </x:c>
      <x:c r="N7" s="27" t="n">
        <x:v>0</x:v>
      </x:c>
      <x:c r="O7" s="24" t="n">
        <x:v>0</x:v>
      </x:c>
      <x:c r="P7" s="24" t="n">
        <x:v>0</x:v>
      </x:c>
      <x:c r="Q7" s="24" t="n">
        <x:v>0</x:v>
      </x:c>
      <x:c r="R7" s="24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f>SUM(D7:U7)</x:f>
        <x:v>0</x:v>
      </x:c>
      <x:c r="W7" s="24" t="n">
        <x:f>SUM(D7,E7,F7,J7,N7)</x:f>
        <x:v>0</x:v>
      </x:c>
      <x:c r="X7" s="24" t="n">
        <x:f>ROUND(V7/18*40,1)</x:f>
        <x:v>0</x:v>
      </x:c>
      <x:c r="Y7" s="24" t="n">
        <x:f>ROUND(W7/5*15,1)</x:f>
        <x:v>0</x:v>
      </x:c>
      <x:c r="Z7" s="24" t="str"/>
      <x:c r="AA7" s="24" t="str"/>
      <x:c r="AB7" s="24" t="str"/>
      <x:c r="AC7" s="24" t="str"/>
      <x:c r="AD7" s="24" t="n">
        <x:f>SUM(X7:AC7)</x:f>
        <x:v>0</x:v>
      </x:c>
      <x:c r="AE7" s="24" t="str"/>
    </x:row>
    <x:row r="8">
      <x:c r="A8" s="24" t="str">
        <x:v>1반</x:v>
      </x:c>
      <x:c r="B8" s="24" t="str">
        <x:v>5조</x:v>
      </x:c>
      <x:c r="C8" s="24" t="str"/>
      <x:c r="D8" s="27" t="n">
        <x:v>0</x:v>
      </x:c>
      <x:c r="E8" s="27" t="n">
        <x:v>0</x:v>
      </x:c>
      <x:c r="F8" s="27" t="n">
        <x:v>0</x:v>
      </x:c>
      <x:c r="G8" s="24" t="n">
        <x:v>0</x:v>
      </x:c>
      <x:c r="H8" s="24" t="n">
        <x:v>0</x:v>
      </x:c>
      <x:c r="I8" s="24" t="n">
        <x:v>0</x:v>
      </x:c>
      <x:c r="J8" s="27" t="n">
        <x:v>0</x:v>
      </x:c>
      <x:c r="K8" s="24" t="n">
        <x:v>0</x:v>
      </x:c>
      <x:c r="L8" s="24" t="n">
        <x:v>0</x:v>
      </x:c>
      <x:c r="M8" s="24" t="n">
        <x:v>0</x:v>
      </x:c>
      <x:c r="N8" s="27" t="n">
        <x:v>0</x:v>
      </x:c>
      <x:c r="O8" s="24" t="n">
        <x:v>0</x:v>
      </x:c>
      <x:c r="P8" s="24" t="n">
        <x:v>0</x:v>
      </x:c>
      <x:c r="Q8" s="24" t="n">
        <x:v>0</x:v>
      </x:c>
      <x:c r="R8" s="24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f>SUM(D8:U8)</x:f>
        <x:v>0</x:v>
      </x:c>
      <x:c r="W8" s="24" t="n">
        <x:f>SUM(D8,E8,F8,J8,N8)</x:f>
        <x:v>0</x:v>
      </x:c>
      <x:c r="X8" s="24" t="n">
        <x:f>ROUND(V8/18*40,1)</x:f>
        <x:v>0</x:v>
      </x:c>
      <x:c r="Y8" s="24" t="n">
        <x:f>ROUND(W8/5*15,1)</x:f>
        <x:v>0</x:v>
      </x:c>
      <x:c r="Z8" s="24" t="str"/>
      <x:c r="AA8" s="24" t="str"/>
      <x:c r="AB8" s="24" t="str"/>
      <x:c r="AC8" s="24" t="str"/>
      <x:c r="AD8" s="24" t="n">
        <x:f>SUM(X8:AC8)</x:f>
        <x:v>0</x:v>
      </x:c>
      <x:c r="AE8" s="24" t="str"/>
    </x:row>
    <x:row r="9">
      <x:c r="A9" s="24" t="str">
        <x:v>2반</x:v>
      </x:c>
      <x:c r="B9" s="24" t="str">
        <x:v>1조</x:v>
      </x:c>
      <x:c r="C9" s="24" t="str"/>
      <x:c r="D9" s="27" t="n">
        <x:v>0</x:v>
      </x:c>
      <x:c r="E9" s="27" t="n">
        <x:v>0</x:v>
      </x:c>
      <x:c r="F9" s="27" t="n">
        <x:v>0</x:v>
      </x:c>
      <x:c r="G9" s="24" t="n">
        <x:v>0</x:v>
      </x:c>
      <x:c r="H9" s="24" t="n">
        <x:v>0</x:v>
      </x:c>
      <x:c r="I9" s="24" t="n">
        <x:v>0</x:v>
      </x:c>
      <x:c r="J9" s="27" t="n">
        <x:v>0</x:v>
      </x:c>
      <x:c r="K9" s="24" t="n">
        <x:v>0</x:v>
      </x:c>
      <x:c r="L9" s="24" t="n">
        <x:v>0</x:v>
      </x:c>
      <x:c r="M9" s="24" t="n">
        <x:v>0</x:v>
      </x:c>
      <x:c r="N9" s="27" t="n">
        <x:v>0</x:v>
      </x:c>
      <x:c r="O9" s="24" t="n">
        <x:v>0</x:v>
      </x:c>
      <x:c r="P9" s="24" t="n">
        <x:v>0</x:v>
      </x:c>
      <x:c r="Q9" s="24" t="n">
        <x:v>0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f>SUM(D9:U9)</x:f>
        <x:v>0</x:v>
      </x:c>
      <x:c r="W9" s="24" t="n">
        <x:f>SUM(D9,E9,F9,J9,N9)</x:f>
        <x:v>0</x:v>
      </x:c>
      <x:c r="X9" s="24" t="n">
        <x:f>ROUND(V9/18*40,1)</x:f>
        <x:v>0</x:v>
      </x:c>
      <x:c r="Y9" s="24" t="n">
        <x:f>ROUND(W9/5*15,1)</x:f>
        <x:v>0</x:v>
      </x:c>
      <x:c r="Z9" s="24" t="str"/>
      <x:c r="AA9" s="24" t="str"/>
      <x:c r="AB9" s="24" t="str"/>
      <x:c r="AC9" s="24" t="str"/>
      <x:c r="AD9" s="24" t="n">
        <x:f>SUM(X9:AC9)</x:f>
        <x:v>0</x:v>
      </x:c>
      <x:c r="AE9" s="24" t="str"/>
    </x:row>
    <x:row r="10">
      <x:c r="A10" s="24" t="str">
        <x:v>2반</x:v>
      </x:c>
      <x:c r="B10" s="24" t="str">
        <x:v>2조</x:v>
      </x:c>
      <x:c r="C10" s="24" t="str"/>
      <x:c r="D10" s="27" t="n">
        <x:v>0</x:v>
      </x:c>
      <x:c r="E10" s="27" t="n">
        <x:v>0</x:v>
      </x:c>
      <x:c r="F10" s="27" t="n">
        <x:v>0</x:v>
      </x:c>
      <x:c r="G10" s="24" t="n">
        <x:v>0</x:v>
      </x:c>
      <x:c r="H10" s="24" t="n">
        <x:v>0</x:v>
      </x:c>
      <x:c r="I10" s="24" t="n">
        <x:v>0</x:v>
      </x:c>
      <x:c r="J10" s="27" t="n">
        <x:v>0</x:v>
      </x:c>
      <x:c r="K10" s="24" t="n">
        <x:v>0</x:v>
      </x:c>
      <x:c r="L10" s="24" t="n">
        <x:v>0</x:v>
      </x:c>
      <x:c r="M10" s="24" t="n">
        <x:v>0</x:v>
      </x:c>
      <x:c r="N10" s="27" t="n">
        <x:v>0</x:v>
      </x:c>
      <x:c r="O10" s="24" t="n">
        <x:v>0</x:v>
      </x:c>
      <x:c r="P10" s="24" t="n">
        <x:v>0</x:v>
      </x:c>
      <x:c r="Q10" s="24" t="n">
        <x:v>0</x:v>
      </x:c>
      <x:c r="R10" s="24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f>SUM(D10:U10)</x:f>
        <x:v>0</x:v>
      </x:c>
      <x:c r="W10" s="24" t="n">
        <x:f>SUM(D10,E10,F10,J10,N10)</x:f>
        <x:v>0</x:v>
      </x:c>
      <x:c r="X10" s="24" t="n">
        <x:f>ROUND(V10/18*40,1)</x:f>
        <x:v>0</x:v>
      </x:c>
      <x:c r="Y10" s="24" t="n">
        <x:f>ROUND(W10/5*15,1)</x:f>
        <x:v>0</x:v>
      </x:c>
      <x:c r="Z10" s="24" t="str"/>
      <x:c r="AA10" s="24" t="str"/>
      <x:c r="AB10" s="24" t="str"/>
      <x:c r="AC10" s="24" t="str"/>
      <x:c r="AD10" s="24" t="n">
        <x:f>SUM(X10:AC10)</x:f>
        <x:v>0</x:v>
      </x:c>
      <x:c r="AE10" s="24" t="str"/>
    </x:row>
    <x:row r="11">
      <x:c r="A11" s="24" t="str">
        <x:v>2반</x:v>
      </x:c>
      <x:c r="B11" s="24" t="str">
        <x:v>3조</x:v>
      </x:c>
      <x:c r="C11" s="24" t="str"/>
      <x:c r="D11" s="27" t="n">
        <x:v>0</x:v>
      </x:c>
      <x:c r="E11" s="27" t="n">
        <x:v>0</x:v>
      </x:c>
      <x:c r="F11" s="27" t="n">
        <x:v>0</x:v>
      </x:c>
      <x:c r="G11" s="24" t="n">
        <x:v>0</x:v>
      </x:c>
      <x:c r="H11" s="24" t="n">
        <x:v>0</x:v>
      </x:c>
      <x:c r="I11" s="24" t="n">
        <x:v>0</x:v>
      </x:c>
      <x:c r="J11" s="27" t="n">
        <x:v>0</x:v>
      </x:c>
      <x:c r="K11" s="24" t="n">
        <x:v>0</x:v>
      </x:c>
      <x:c r="L11" s="24" t="n">
        <x:v>0</x:v>
      </x:c>
      <x:c r="M11" s="24" t="n">
        <x:v>0</x:v>
      </x:c>
      <x:c r="N11" s="27" t="n">
        <x:v>0</x:v>
      </x:c>
      <x:c r="O11" s="24" t="n">
        <x:v>0</x:v>
      </x:c>
      <x:c r="P11" s="24" t="n">
        <x:v>0</x:v>
      </x:c>
      <x:c r="Q11" s="24" t="n">
        <x:v>0</x:v>
      </x:c>
      <x:c r="R11" s="24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f>SUM(D11:U11)</x:f>
        <x:v>0</x:v>
      </x:c>
      <x:c r="W11" s="24" t="n">
        <x:f>SUM(D11,E11,F11,J11,N11)</x:f>
        <x:v>0</x:v>
      </x:c>
      <x:c r="X11" s="24" t="n">
        <x:f>ROUND(V11/18*40,1)</x:f>
        <x:v>0</x:v>
      </x:c>
      <x:c r="Y11" s="24" t="n">
        <x:f>ROUND(W11/5*15,1)</x:f>
        <x:v>0</x:v>
      </x:c>
      <x:c r="Z11" s="24" t="str"/>
      <x:c r="AA11" s="24" t="str"/>
      <x:c r="AB11" s="24" t="str"/>
      <x:c r="AC11" s="24" t="str"/>
      <x:c r="AD11" s="24" t="n">
        <x:f>SUM(X11:AC11)</x:f>
        <x:v>0</x:v>
      </x:c>
      <x:c r="AE11" s="24" t="str"/>
    </x:row>
    <x:row r="12">
      <x:c r="A12" s="24" t="str">
        <x:v>2반</x:v>
      </x:c>
      <x:c r="B12" s="24" t="str">
        <x:v>4조</x:v>
      </x:c>
      <x:c r="C12" s="24" t="str"/>
      <x:c r="D12" s="27" t="n">
        <x:v>0</x:v>
      </x:c>
      <x:c r="E12" s="27" t="n">
        <x:v>0</x:v>
      </x:c>
      <x:c r="F12" s="27" t="n">
        <x:v>0</x:v>
      </x:c>
      <x:c r="G12" s="24" t="n">
        <x:v>0</x:v>
      </x:c>
      <x:c r="H12" s="24" t="n">
        <x:v>0</x:v>
      </x:c>
      <x:c r="I12" s="24" t="n">
        <x:v>0</x:v>
      </x:c>
      <x:c r="J12" s="27" t="n">
        <x:v>0</x:v>
      </x:c>
      <x:c r="K12" s="24" t="n">
        <x:v>0</x:v>
      </x:c>
      <x:c r="L12" s="24" t="n">
        <x:v>0</x:v>
      </x:c>
      <x:c r="M12" s="24" t="n">
        <x:v>0</x:v>
      </x:c>
      <x:c r="N12" s="27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f>SUM(D12:U12)</x:f>
        <x:v>0</x:v>
      </x:c>
      <x:c r="W12" s="24" t="n">
        <x:f>SUM(D12,E12,F12,J12,N12)</x:f>
        <x:v>0</x:v>
      </x:c>
      <x:c r="X12" s="24" t="n">
        <x:f>ROUND(V12/18*40,1)</x:f>
        <x:v>0</x:v>
      </x:c>
      <x:c r="Y12" s="24" t="n">
        <x:f>ROUND(W12/5*15,1)</x:f>
        <x:v>0</x:v>
      </x:c>
      <x:c r="Z12" s="24" t="str"/>
      <x:c r="AA12" s="24" t="str"/>
      <x:c r="AB12" s="24" t="str"/>
      <x:c r="AC12" s="24" t="str"/>
      <x:c r="AD12" s="24" t="n">
        <x:f>SUM(X12:AC12)</x:f>
        <x:v>0</x:v>
      </x:c>
      <x:c r="AE12" s="24" t="str"/>
    </x:row>
    <x:row r="13">
      <x:c r="A13" s="24" t="str">
        <x:v>2반</x:v>
      </x:c>
      <x:c r="B13" s="24" t="str">
        <x:v>5조</x:v>
      </x:c>
      <x:c r="C13" s="24" t="str"/>
      <x:c r="D13" s="27" t="n">
        <x:v>0</x:v>
      </x:c>
      <x:c r="E13" s="27" t="n">
        <x:v>0</x:v>
      </x:c>
      <x:c r="F13" s="27" t="n">
        <x:v>0</x:v>
      </x:c>
      <x:c r="G13" s="24" t="n">
        <x:v>0</x:v>
      </x:c>
      <x:c r="H13" s="24" t="n">
        <x:v>0</x:v>
      </x:c>
      <x:c r="I13" s="24" t="n">
        <x:v>0</x:v>
      </x:c>
      <x:c r="J13" s="27" t="n">
        <x:v>0</x:v>
      </x:c>
      <x:c r="K13" s="24" t="n">
        <x:v>0</x:v>
      </x:c>
      <x:c r="L13" s="24" t="n">
        <x:v>0</x:v>
      </x:c>
      <x:c r="M13" s="24" t="n">
        <x:v>0</x:v>
      </x:c>
      <x:c r="N13" s="27" t="n">
        <x:v>0</x:v>
      </x:c>
      <x:c r="O13" s="24" t="n">
        <x:v>0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f>SUM(D13:U13)</x:f>
        <x:v>0</x:v>
      </x:c>
      <x:c r="W13" s="24" t="n">
        <x:f>SUM(D13,E13,F13,J13,N13)</x:f>
        <x:v>0</x:v>
      </x:c>
      <x:c r="X13" s="24" t="n">
        <x:f>ROUND(V13/18*40,1)</x:f>
        <x:v>0</x:v>
      </x:c>
      <x:c r="Y13" s="24" t="n">
        <x:f>ROUND(W13/5*15,1)</x:f>
        <x:v>0</x:v>
      </x:c>
      <x:c r="Z13" s="24" t="str"/>
      <x:c r="AA13" s="24" t="str"/>
      <x:c r="AB13" s="24" t="str"/>
      <x:c r="AC13" s="24" t="str"/>
      <x:c r="AD13" s="24" t="n">
        <x:f>SUM(X13:AC13)</x:f>
        <x:v>0</x:v>
      </x:c>
      <x:c r="AE13" s="24" t="str"/>
    </x:row>
    <x:row r="14">
      <x:c r="A14" s="24" t="str">
        <x:v>3반</x:v>
      </x:c>
      <x:c r="B14" s="24" t="str">
        <x:v>1조</x:v>
      </x:c>
      <x:c r="C14" s="24" t="str"/>
      <x:c r="D14" s="27" t="n">
        <x:v>0</x:v>
      </x:c>
      <x:c r="E14" s="27" t="n">
        <x:v>0</x:v>
      </x:c>
      <x:c r="F14" s="27" t="n">
        <x:v>0</x:v>
      </x:c>
      <x:c r="G14" s="24" t="n">
        <x:v>0</x:v>
      </x:c>
      <x:c r="H14" s="24" t="n">
        <x:v>0</x:v>
      </x:c>
      <x:c r="I14" s="24" t="n">
        <x:v>0</x:v>
      </x:c>
      <x:c r="J14" s="27" t="n">
        <x:v>0</x:v>
      </x:c>
      <x:c r="K14" s="24" t="n">
        <x:v>0</x:v>
      </x:c>
      <x:c r="L14" s="24" t="n">
        <x:v>0</x:v>
      </x:c>
      <x:c r="M14" s="24" t="n">
        <x:v>0</x:v>
      </x:c>
      <x:c r="N14" s="27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f>SUM(D14:U14)</x:f>
        <x:v>0</x:v>
      </x:c>
      <x:c r="W14" s="24" t="n">
        <x:f>SUM(D14,E14,F14,J14,N14)</x:f>
        <x:v>0</x:v>
      </x:c>
      <x:c r="X14" s="24" t="n">
        <x:f>ROUND(V14/18*40,1)</x:f>
        <x:v>0</x:v>
      </x:c>
      <x:c r="Y14" s="24" t="n">
        <x:f>ROUND(W14/5*15,1)</x:f>
        <x:v>0</x:v>
      </x:c>
      <x:c r="Z14" s="24" t="str"/>
      <x:c r="AA14" s="24" t="str"/>
      <x:c r="AB14" s="24" t="str"/>
      <x:c r="AC14" s="24" t="str"/>
      <x:c r="AD14" s="24" t="n">
        <x:f>SUM(X14:AC14)</x:f>
        <x:v>0</x:v>
      </x:c>
      <x:c r="AE14" s="24" t="str"/>
    </x:row>
    <x:row r="15">
      <x:c r="A15" s="24" t="str">
        <x:v>3반</x:v>
      </x:c>
      <x:c r="B15" s="24" t="str">
        <x:v>2조</x:v>
      </x:c>
      <x:c r="C15" s="24" t="str"/>
      <x:c r="D15" s="27" t="n">
        <x:v>0</x:v>
      </x:c>
      <x:c r="E15" s="27" t="n">
        <x:v>0</x:v>
      </x:c>
      <x:c r="F15" s="27" t="n">
        <x:v>0</x:v>
      </x:c>
      <x:c r="G15" s="24" t="n">
        <x:v>0</x:v>
      </x:c>
      <x:c r="H15" s="24" t="n">
        <x:v>0</x:v>
      </x:c>
      <x:c r="I15" s="24" t="n">
        <x:v>0</x:v>
      </x:c>
      <x:c r="J15" s="27" t="n">
        <x:v>0</x:v>
      </x:c>
      <x:c r="K15" s="24" t="n">
        <x:v>0</x:v>
      </x:c>
      <x:c r="L15" s="24" t="n">
        <x:v>0</x:v>
      </x:c>
      <x:c r="M15" s="24" t="n">
        <x:v>0</x:v>
      </x:c>
      <x:c r="N15" s="27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f>SUM(D15:U15)</x:f>
        <x:v>0</x:v>
      </x:c>
      <x:c r="W15" s="24" t="n">
        <x:f>SUM(D15,E15,F15,J15,N15)</x:f>
        <x:v>0</x:v>
      </x:c>
      <x:c r="X15" s="24" t="n">
        <x:f>ROUND(V15/18*40,1)</x:f>
        <x:v>0</x:v>
      </x:c>
      <x:c r="Y15" s="24" t="n">
        <x:f>ROUND(W15/5*15,1)</x:f>
        <x:v>0</x:v>
      </x:c>
      <x:c r="Z15" s="24" t="str"/>
      <x:c r="AA15" s="24" t="str"/>
      <x:c r="AB15" s="24" t="str"/>
      <x:c r="AC15" s="24" t="str"/>
      <x:c r="AD15" s="24" t="n">
        <x:f>SUM(X15:AC15)</x:f>
        <x:v>0</x:v>
      </x:c>
      <x:c r="AE15" s="24" t="str"/>
    </x:row>
    <x:row r="16">
      <x:c r="A16" s="24" t="str">
        <x:v>3반</x:v>
      </x:c>
      <x:c r="B16" s="24" t="str">
        <x:v>3조</x:v>
      </x:c>
      <x:c r="C16" s="24" t="str"/>
      <x:c r="D16" s="27" t="n">
        <x:v>0</x:v>
      </x:c>
      <x:c r="E16" s="27" t="n">
        <x:v>0</x:v>
      </x:c>
      <x:c r="F16" s="27" t="n">
        <x:v>0</x:v>
      </x:c>
      <x:c r="G16" s="24" t="n">
        <x:v>0</x:v>
      </x:c>
      <x:c r="H16" s="24" t="n">
        <x:v>0</x:v>
      </x:c>
      <x:c r="I16" s="24" t="n">
        <x:v>0</x:v>
      </x:c>
      <x:c r="J16" s="27" t="n">
        <x:v>0</x:v>
      </x:c>
      <x:c r="K16" s="24" t="n">
        <x:v>0</x:v>
      </x:c>
      <x:c r="L16" s="24" t="n">
        <x:v>0</x:v>
      </x:c>
      <x:c r="M16" s="24" t="n">
        <x:v>0</x:v>
      </x:c>
      <x:c r="N16" s="27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f>SUM(D16:U16)</x:f>
        <x:v>0</x:v>
      </x:c>
      <x:c r="W16" s="24" t="n">
        <x:f>SUM(D16,E16,F16,J16,N16)</x:f>
        <x:v>0</x:v>
      </x:c>
      <x:c r="X16" s="24" t="n">
        <x:f>ROUND(V16/18*40,1)</x:f>
        <x:v>0</x:v>
      </x:c>
      <x:c r="Y16" s="24" t="n">
        <x:f>ROUND(W16/5*15,1)</x:f>
        <x:v>0</x:v>
      </x:c>
      <x:c r="Z16" s="24" t="str"/>
      <x:c r="AA16" s="24" t="str"/>
      <x:c r="AB16" s="24" t="str"/>
      <x:c r="AC16" s="24" t="str"/>
      <x:c r="AD16" s="24" t="n">
        <x:f>SUM(X16:AC16)</x:f>
        <x:v>0</x:v>
      </x:c>
      <x:c r="AE16" s="24" t="str"/>
    </x:row>
    <x:row r="17">
      <x:c r="A17" s="24" t="str">
        <x:v>3반</x:v>
      </x:c>
      <x:c r="B17" s="24" t="str">
        <x:v>4조</x:v>
      </x:c>
      <x:c r="C17" s="24" t="str"/>
      <x:c r="D17" s="27" t="n">
        <x:v>0</x:v>
      </x:c>
      <x:c r="E17" s="27" t="n">
        <x:v>0</x:v>
      </x:c>
      <x:c r="F17" s="27" t="n">
        <x:v>0</x:v>
      </x:c>
      <x:c r="G17" s="24" t="n">
        <x:v>0</x:v>
      </x:c>
      <x:c r="H17" s="24" t="n">
        <x:v>0</x:v>
      </x:c>
      <x:c r="I17" s="24" t="n">
        <x:v>0</x:v>
      </x:c>
      <x:c r="J17" s="27" t="n">
        <x:v>0</x:v>
      </x:c>
      <x:c r="K17" s="24" t="n">
        <x:v>0</x:v>
      </x:c>
      <x:c r="L17" s="24" t="n">
        <x:v>0</x:v>
      </x:c>
      <x:c r="M17" s="24" t="n">
        <x:v>0</x:v>
      </x:c>
      <x:c r="N17" s="27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f>SUM(D17:U17)</x:f>
        <x:v>0</x:v>
      </x:c>
      <x:c r="W17" s="24" t="n">
        <x:f>SUM(D17,E17,F17,J17,N17)</x:f>
        <x:v>0</x:v>
      </x:c>
      <x:c r="X17" s="24" t="n">
        <x:f>ROUND(V17/18*40,1)</x:f>
        <x:v>0</x:v>
      </x:c>
      <x:c r="Y17" s="24" t="n">
        <x:f>ROUND(W17/5*15,1)</x:f>
        <x:v>0</x:v>
      </x:c>
      <x:c r="Z17" s="24" t="str"/>
      <x:c r="AA17" s="24" t="str"/>
      <x:c r="AB17" s="24" t="str"/>
      <x:c r="AC17" s="24" t="str"/>
      <x:c r="AD17" s="24" t="n">
        <x:f>SUM(X17:AC17)</x:f>
        <x:v>0</x:v>
      </x:c>
      <x:c r="AE17" s="24" t="str"/>
    </x:row>
    <x:row r="18">
      <x:c r="A18" s="24" t="str">
        <x:v>3반</x:v>
      </x:c>
      <x:c r="B18" s="24" t="str">
        <x:v>5조</x:v>
      </x:c>
      <x:c r="C18" s="24" t="str"/>
      <x:c r="D18" s="27" t="n">
        <x:v>0</x:v>
      </x:c>
      <x:c r="E18" s="27" t="n">
        <x:v>0</x:v>
      </x:c>
      <x:c r="F18" s="27" t="n">
        <x:v>0</x:v>
      </x:c>
      <x:c r="G18" s="24" t="n">
        <x:v>0</x:v>
      </x:c>
      <x:c r="H18" s="24" t="n">
        <x:v>0</x:v>
      </x:c>
      <x:c r="I18" s="24" t="n">
        <x:v>0</x:v>
      </x:c>
      <x:c r="J18" s="27" t="n">
        <x:v>0</x:v>
      </x:c>
      <x:c r="K18" s="24" t="n">
        <x:v>0</x:v>
      </x:c>
      <x:c r="L18" s="24" t="n">
        <x:v>0</x:v>
      </x:c>
      <x:c r="M18" s="24" t="n">
        <x:v>0</x:v>
      </x:c>
      <x:c r="N18" s="27" t="n">
        <x:v>0</x:v>
      </x:c>
      <x:c r="O18" s="24" t="n">
        <x:v>0</x:v>
      </x:c>
      <x:c r="P18" s="24" t="n">
        <x:v>0</x:v>
      </x:c>
      <x:c r="Q18" s="24" t="n">
        <x:v>0</x:v>
      </x:c>
      <x:c r="R18" s="24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f>SUM(D18:U18)</x:f>
        <x:v>0</x:v>
      </x:c>
      <x:c r="W18" s="24" t="n">
        <x:f>SUM(D18,E18,F18,J18,N18)</x:f>
        <x:v>0</x:v>
      </x:c>
      <x:c r="X18" s="24" t="n">
        <x:f>ROUND(V18/18*40,1)</x:f>
        <x:v>0</x:v>
      </x:c>
      <x:c r="Y18" s="24" t="n">
        <x:f>ROUND(W18/5*15,1)</x:f>
        <x:v>0</x:v>
      </x:c>
      <x:c r="Z18" s="24" t="str"/>
      <x:c r="AA18" s="24" t="str"/>
      <x:c r="AB18" s="24" t="str"/>
      <x:c r="AC18" s="24" t="str"/>
      <x:c r="AD18" s="24" t="n">
        <x:f>SUM(X18:AC18)</x:f>
        <x:v>0</x:v>
      </x:c>
      <x:c r="AE18" s="24" t="str"/>
    </x:row>
    <x:row r="19">
      <x:c r="A19" s="24" t="str">
        <x:v>4반</x:v>
      </x:c>
      <x:c r="B19" s="24" t="str">
        <x:v>1조</x:v>
      </x:c>
      <x:c r="C19" s="24" t="str"/>
      <x:c r="D19" s="27" t="n">
        <x:v>0</x:v>
      </x:c>
      <x:c r="E19" s="27" t="n">
        <x:v>0</x:v>
      </x:c>
      <x:c r="F19" s="27" t="n">
        <x:v>0</x:v>
      </x:c>
      <x:c r="G19" s="24" t="n">
        <x:v>0</x:v>
      </x:c>
      <x:c r="H19" s="24" t="n">
        <x:v>0</x:v>
      </x:c>
      <x:c r="I19" s="24" t="n">
        <x:v>0</x:v>
      </x:c>
      <x:c r="J19" s="27" t="n">
        <x:v>0</x:v>
      </x:c>
      <x:c r="K19" s="24" t="n">
        <x:v>0</x:v>
      </x:c>
      <x:c r="L19" s="24" t="n">
        <x:v>0</x:v>
      </x:c>
      <x:c r="M19" s="24" t="n">
        <x:v>0</x:v>
      </x:c>
      <x:c r="N19" s="27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f>SUM(D19:U19)</x:f>
        <x:v>0</x:v>
      </x:c>
      <x:c r="W19" s="24" t="n">
        <x:f>SUM(D19,E19,F19,J19,N19)</x:f>
        <x:v>0</x:v>
      </x:c>
      <x:c r="X19" s="24" t="n">
        <x:f>ROUND(V19/18*40,1)</x:f>
        <x:v>0</x:v>
      </x:c>
      <x:c r="Y19" s="24" t="n">
        <x:f>ROUND(W19/5*15,1)</x:f>
        <x:v>0</x:v>
      </x:c>
      <x:c r="Z19" s="24" t="str"/>
      <x:c r="AA19" s="24" t="str"/>
      <x:c r="AB19" s="24" t="str"/>
      <x:c r="AC19" s="24" t="str"/>
      <x:c r="AD19" s="24" t="n">
        <x:f>SUM(X19:AC19)</x:f>
        <x:v>0</x:v>
      </x:c>
      <x:c r="AE19" s="24" t="str"/>
    </x:row>
    <x:row r="20">
      <x:c r="A20" s="24" t="str">
        <x:v>4반</x:v>
      </x:c>
      <x:c r="B20" s="24" t="str">
        <x:v>2조</x:v>
      </x:c>
      <x:c r="C20" s="24" t="str"/>
      <x:c r="D20" s="27" t="n">
        <x:v>0</x:v>
      </x:c>
      <x:c r="E20" s="27" t="n">
        <x:v>0</x:v>
      </x:c>
      <x:c r="F20" s="27" t="n">
        <x:v>0</x:v>
      </x:c>
      <x:c r="G20" s="24" t="n">
        <x:v>0</x:v>
      </x:c>
      <x:c r="H20" s="24" t="n">
        <x:v>0</x:v>
      </x:c>
      <x:c r="I20" s="24" t="n">
        <x:v>0</x:v>
      </x:c>
      <x:c r="J20" s="27" t="n">
        <x:v>0</x:v>
      </x:c>
      <x:c r="K20" s="24" t="n">
        <x:v>0</x:v>
      </x:c>
      <x:c r="L20" s="24" t="n">
        <x:v>0</x:v>
      </x:c>
      <x:c r="M20" s="24" t="n">
        <x:v>0</x:v>
      </x:c>
      <x:c r="N20" s="27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f>SUM(D20:U20)</x:f>
        <x:v>0</x:v>
      </x:c>
      <x:c r="W20" s="24" t="n">
        <x:f>SUM(D20,E20,F20,J20,N20)</x:f>
        <x:v>0</x:v>
      </x:c>
      <x:c r="X20" s="24" t="n">
        <x:f>ROUND(V20/18*40,1)</x:f>
        <x:v>0</x:v>
      </x:c>
      <x:c r="Y20" s="24" t="n">
        <x:f>ROUND(W20/5*15,1)</x:f>
        <x:v>0</x:v>
      </x:c>
      <x:c r="Z20" s="24" t="str"/>
      <x:c r="AA20" s="24" t="str"/>
      <x:c r="AB20" s="24" t="str"/>
      <x:c r="AC20" s="24" t="str"/>
      <x:c r="AD20" s="24" t="n">
        <x:f>SUM(X20:AC20)</x:f>
        <x:v>0</x:v>
      </x:c>
      <x:c r="AE20" s="24" t="str"/>
    </x:row>
    <x:row r="21">
      <x:c r="A21" s="24" t="str">
        <x:v>4반</x:v>
      </x:c>
      <x:c r="B21" s="24" t="str">
        <x:v>3조</x:v>
      </x:c>
      <x:c r="C21" s="24" t="str"/>
      <x:c r="D21" s="27" t="n">
        <x:v>0</x:v>
      </x:c>
      <x:c r="E21" s="27" t="n">
        <x:v>0</x:v>
      </x:c>
      <x:c r="F21" s="27" t="n">
        <x:v>0</x:v>
      </x:c>
      <x:c r="G21" s="24" t="n">
        <x:v>0</x:v>
      </x:c>
      <x:c r="H21" s="24" t="n">
        <x:v>0</x:v>
      </x:c>
      <x:c r="I21" s="24" t="n">
        <x:v>0</x:v>
      </x:c>
      <x:c r="J21" s="27" t="n">
        <x:v>0</x:v>
      </x:c>
      <x:c r="K21" s="24" t="n">
        <x:v>0</x:v>
      </x:c>
      <x:c r="L21" s="24" t="n">
        <x:v>0</x:v>
      </x:c>
      <x:c r="M21" s="24" t="n">
        <x:v>0</x:v>
      </x:c>
      <x:c r="N21" s="27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f>SUM(D21:U21)</x:f>
        <x:v>0</x:v>
      </x:c>
      <x:c r="W21" s="24" t="n">
        <x:f>SUM(D21,E21,F21,J21,N21)</x:f>
        <x:v>0</x:v>
      </x:c>
      <x:c r="X21" s="24" t="n">
        <x:f>ROUND(V21/18*40,1)</x:f>
        <x:v>0</x:v>
      </x:c>
      <x:c r="Y21" s="24" t="n">
        <x:f>ROUND(W21/5*15,1)</x:f>
        <x:v>0</x:v>
      </x:c>
      <x:c r="Z21" s="24" t="str"/>
      <x:c r="AA21" s="24" t="str"/>
      <x:c r="AB21" s="24" t="str"/>
      <x:c r="AC21" s="24" t="str"/>
      <x:c r="AD21" s="24" t="n">
        <x:f>SUM(X21:AC21)</x:f>
        <x:v>0</x:v>
      </x:c>
      <x:c r="AE21" s="24" t="str"/>
    </x:row>
    <x:row r="22">
      <x:c r="A22" s="24" t="str">
        <x:v>4반</x:v>
      </x:c>
      <x:c r="B22" s="24" t="str">
        <x:v>4조</x:v>
      </x:c>
      <x:c r="C22" s="24" t="str"/>
      <x:c r="D22" s="27" t="n">
        <x:v>0</x:v>
      </x:c>
      <x:c r="E22" s="27" t="n">
        <x:v>0</x:v>
      </x:c>
      <x:c r="F22" s="27" t="n">
        <x:v>0</x:v>
      </x:c>
      <x:c r="G22" s="24" t="n">
        <x:v>0</x:v>
      </x:c>
      <x:c r="H22" s="24" t="n">
        <x:v>0</x:v>
      </x:c>
      <x:c r="I22" s="24" t="n">
        <x:v>0</x:v>
      </x:c>
      <x:c r="J22" s="27" t="n">
        <x:v>0</x:v>
      </x:c>
      <x:c r="K22" s="24" t="n">
        <x:v>0</x:v>
      </x:c>
      <x:c r="L22" s="24" t="n">
        <x:v>0</x:v>
      </x:c>
      <x:c r="M22" s="24" t="n">
        <x:v>0</x:v>
      </x:c>
      <x:c r="N22" s="27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f>SUM(D22:U22)</x:f>
        <x:v>0</x:v>
      </x:c>
      <x:c r="W22" s="24" t="n">
        <x:f>SUM(D22,E22,F22,J22,N22)</x:f>
        <x:v>0</x:v>
      </x:c>
      <x:c r="X22" s="24" t="n">
        <x:f>ROUND(V22/18*40,1)</x:f>
        <x:v>0</x:v>
      </x:c>
      <x:c r="Y22" s="24" t="n">
        <x:f>ROUND(W22/5*15,1)</x:f>
        <x:v>0</x:v>
      </x:c>
      <x:c r="Z22" s="24" t="str"/>
      <x:c r="AA22" s="24" t="str"/>
      <x:c r="AB22" s="24" t="str"/>
      <x:c r="AC22" s="24" t="str"/>
      <x:c r="AD22" s="24" t="n">
        <x:f>SUM(X22:AC22)</x:f>
        <x:v>0</x:v>
      </x:c>
      <x:c r="AE22" s="24" t="str"/>
    </x:row>
    <x:row r="23">
      <x:c r="A23" s="24" t="str">
        <x:v>4반</x:v>
      </x:c>
      <x:c r="B23" s="24" t="str">
        <x:v>5조</x:v>
      </x:c>
      <x:c r="C23" s="24" t="str"/>
      <x:c r="D23" s="27" t="n">
        <x:v>0</x:v>
      </x:c>
      <x:c r="E23" s="27" t="n">
        <x:v>0</x:v>
      </x:c>
      <x:c r="F23" s="27" t="n">
        <x:v>0</x:v>
      </x:c>
      <x:c r="G23" s="24" t="n">
        <x:v>0</x:v>
      </x:c>
      <x:c r="H23" s="24" t="n">
        <x:v>0</x:v>
      </x:c>
      <x:c r="I23" s="24" t="n">
        <x:v>0</x:v>
      </x:c>
      <x:c r="J23" s="27" t="n">
        <x:v>0</x:v>
      </x:c>
      <x:c r="K23" s="24" t="n">
        <x:v>0</x:v>
      </x:c>
      <x:c r="L23" s="24" t="n">
        <x:v>0</x:v>
      </x:c>
      <x:c r="M23" s="24" t="n">
        <x:v>0</x:v>
      </x:c>
      <x:c r="N23" s="27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f>SUM(D23:U23)</x:f>
        <x:v>0</x:v>
      </x:c>
      <x:c r="W23" s="24" t="n">
        <x:f>SUM(D23,E23,F23,J23,N23)</x:f>
        <x:v>0</x:v>
      </x:c>
      <x:c r="X23" s="24" t="n">
        <x:f>ROUND(V23/18*40,1)</x:f>
        <x:v>0</x:v>
      </x:c>
      <x:c r="Y23" s="24" t="n">
        <x:f>ROUND(W23/5*15,1)</x:f>
        <x:v>0</x:v>
      </x:c>
      <x:c r="Z23" s="24" t="str"/>
      <x:c r="AA23" s="24" t="str"/>
      <x:c r="AB23" s="24" t="str"/>
      <x:c r="AC23" s="24" t="str"/>
      <x:c r="AD23" s="24" t="n">
        <x:f>SUM(X23:AC23)</x:f>
        <x:v>0</x:v>
      </x:c>
      <x:c r="AE23" s="24" t="str"/>
    </x:row>
    <x:row r="25">
      <x:c r="A25" s="36" t="str">
        <x:v>주의: C01, C02, C03, C07, C11는 고위험 오류입니다. 고위험 오류는 발견 여부뿐 아니라 왜 즉시 위해가 되는지 설명할 수 있어야 합니다.</x:v>
      </x:c>
    </x:row>
  </x:sheetData>
  <x:mergeCells>
    <x:mergeCell ref="A1:AE1"/>
    <x:mergeCell ref="A25:AE25"/>
  </x:mergeCells>
  <x:conditionalFormatting sqref="AD4:AD23">
    <x:cfRule type="cellIs" dxfId="4" priority="1" operator="lessThan">
      <x:formula>70</x:formula>
    </x:cfRule>
    <x:cfRule type="cellIs" dxfId="5" priority="2" operator="greaterThanOrEqual">
      <x:formula>90</x:formula>
    </x:cfRule>
  </x:conditionalFormatting>
  <x:dataValidations count="4">
    <x:dataValidation type="list" sqref="D4:U23">
      <x:formula1>"0,1"</x:formula1>
    </x:dataValidation>
    <x:dataValidation type="whole" operator="between" sqref="Z4:AA23">
      <x:formula1>0</x:formula1>
      <x:formula2>15</x:formula2>
    </x:dataValidation>
    <x:dataValidation type="whole" operator="between" sqref="AB4:AB23">
      <x:formula1>0</x:formula1>
      <x:formula2>10</x:formula2>
    </x:dataValidation>
    <x:dataValidation type="whole" operator="between" sqref="AC4:AC23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3eda0abc2ab42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9" hidden="0" customWidth="1"/>
    <x:col min="23" max="23" width="9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5" hidden="0" customWidth="1"/>
  </x:cols>
  <x:sheetData>
    <x:row r="1">
      <x:c r="A1" s="5" t="str">
        <x:v>CASE D 채점표 - 당뇨·인슐린 치료 환자: 저혈당·투약·감염관리 오류</x:v>
      </x:c>
    </x:row>
    <x:row r="3">
      <x:c r="A3" s="14" t="str">
        <x:v>반</x:v>
      </x:c>
      <x:c r="B3" s="14" t="str">
        <x:v>조</x:v>
      </x:c>
      <x:c r="C3" s="14" t="str">
        <x:v>조원/메모</x:v>
      </x:c>
      <x:c r="D3" s="31" t="str">
        <x:v>D01</x:v>
      </x:c>
      <x:c r="E3" s="31" t="str">
        <x:v>D02</x:v>
      </x:c>
      <x:c r="F3" s="31" t="str">
        <x:v>D03</x:v>
      </x:c>
      <x:c r="G3" s="31" t="str">
        <x:v>D04</x:v>
      </x:c>
      <x:c r="H3" s="14" t="str">
        <x:v>D05</x:v>
      </x:c>
      <x:c r="I3" s="14" t="str">
        <x:v>D06</x:v>
      </x:c>
      <x:c r="J3" s="14" t="str">
        <x:v>D07</x:v>
      </x:c>
      <x:c r="K3" s="31" t="str">
        <x:v>D08</x:v>
      </x:c>
      <x:c r="L3" s="14" t="str">
        <x:v>D09</x:v>
      </x:c>
      <x:c r="M3" s="14" t="str">
        <x:v>D10</x:v>
      </x:c>
      <x:c r="N3" s="14" t="str">
        <x:v>D11</x:v>
      </x:c>
      <x:c r="O3" s="14" t="str">
        <x:v>D12</x:v>
      </x:c>
      <x:c r="P3" s="14" t="str">
        <x:v>D13</x:v>
      </x:c>
      <x:c r="Q3" s="14" t="str">
        <x:v>D14</x:v>
      </x:c>
      <x:c r="R3" s="14" t="str">
        <x:v>D15</x:v>
      </x:c>
      <x:c r="S3" s="14" t="str">
        <x:v>D16</x:v>
      </x:c>
      <x:c r="T3" s="14" t="str">
        <x:v>D17</x:v>
      </x:c>
      <x:c r="U3" s="14" t="str">
        <x:v>D18</x:v>
      </x:c>
      <x:c r="V3" s="14" t="str">
        <x:v>탐지수</x:v>
      </x:c>
      <x:c r="W3" s="14" t="str">
        <x:v>고위험수</x:v>
      </x:c>
      <x:c r="X3" s="14" t="str">
        <x:v>탐지점수(40)</x:v>
      </x:c>
      <x:c r="Y3" s="14" t="str">
        <x:v>고위험점수(15)</x:v>
      </x:c>
      <x:c r="Z3" s="14" t="str">
        <x:v>우선순위(15)</x:v>
      </x:c>
      <x:c r="AA3" s="14" t="str">
        <x:v>SBAR(15)</x:v>
      </x:c>
      <x:c r="AB3" s="14" t="str">
        <x:v>팀워크(10)</x:v>
      </x:c>
      <x:c r="AC3" s="14" t="str">
        <x:v>성찰(5)</x:v>
      </x:c>
      <x:c r="AD3" s="14" t="str">
        <x:v>총점</x:v>
      </x:c>
      <x:c r="AE3" s="14" t="str">
        <x:v>교수 피드백</x:v>
      </x:c>
    </x:row>
    <x:row r="4">
      <x:c r="A4" s="24" t="str">
        <x:v>1반</x:v>
      </x:c>
      <x:c r="B4" s="24" t="str">
        <x:v>1조</x:v>
      </x:c>
      <x:c r="C4" s="24" t="str"/>
      <x:c r="D4" s="27" t="n">
        <x:v>0</x:v>
      </x:c>
      <x:c r="E4" s="27" t="n">
        <x:v>0</x:v>
      </x:c>
      <x:c r="F4" s="27" t="n">
        <x:v>0</x:v>
      </x:c>
      <x:c r="G4" s="27" t="n">
        <x:v>0</x:v>
      </x:c>
      <x:c r="H4" s="24" t="n">
        <x:v>0</x:v>
      </x:c>
      <x:c r="I4" s="24" t="n">
        <x:v>0</x:v>
      </x:c>
      <x:c r="J4" s="24" t="n">
        <x:v>0</x:v>
      </x:c>
      <x:c r="K4" s="27" t="n">
        <x:v>0</x:v>
      </x:c>
      <x:c r="L4" s="24" t="n">
        <x:v>0</x:v>
      </x:c>
      <x:c r="M4" s="24" t="n">
        <x:v>0</x:v>
      </x:c>
      <x:c r="N4" s="24" t="n">
        <x:v>0</x:v>
      </x:c>
      <x:c r="O4" s="24" t="n">
        <x:v>0</x:v>
      </x:c>
      <x:c r="P4" s="24" t="n">
        <x:v>0</x:v>
      </x:c>
      <x:c r="Q4" s="24" t="n">
        <x:v>0</x:v>
      </x:c>
      <x:c r="R4" s="24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f>SUM(D4:U4)</x:f>
        <x:v>0</x:v>
      </x:c>
      <x:c r="W4" s="24" t="n">
        <x:f>SUM(D4,E4,F4,G4,K4)</x:f>
        <x:v>0</x:v>
      </x:c>
      <x:c r="X4" s="24" t="n">
        <x:f>ROUND(V4/18*40,1)</x:f>
        <x:v>0</x:v>
      </x:c>
      <x:c r="Y4" s="24" t="n">
        <x:f>ROUND(W4/5*15,1)</x:f>
        <x:v>0</x:v>
      </x:c>
      <x:c r="Z4" s="24" t="str"/>
      <x:c r="AA4" s="24" t="str"/>
      <x:c r="AB4" s="24" t="str"/>
      <x:c r="AC4" s="24" t="str"/>
      <x:c r="AD4" s="24" t="n">
        <x:f>SUM(X4:AC4)</x:f>
        <x:v>0</x:v>
      </x:c>
      <x:c r="AE4" s="24" t="str"/>
    </x:row>
    <x:row r="5">
      <x:c r="A5" s="24" t="str">
        <x:v>1반</x:v>
      </x:c>
      <x:c r="B5" s="24" t="str">
        <x:v>2조</x:v>
      </x:c>
      <x:c r="C5" s="24" t="str"/>
      <x:c r="D5" s="27" t="n">
        <x:v>0</x:v>
      </x:c>
      <x:c r="E5" s="27" t="n">
        <x:v>0</x:v>
      </x:c>
      <x:c r="F5" s="27" t="n">
        <x:v>0</x:v>
      </x:c>
      <x:c r="G5" s="27" t="n">
        <x:v>0</x:v>
      </x:c>
      <x:c r="H5" s="24" t="n">
        <x:v>0</x:v>
      </x:c>
      <x:c r="I5" s="24" t="n">
        <x:v>0</x:v>
      </x:c>
      <x:c r="J5" s="24" t="n">
        <x:v>0</x:v>
      </x:c>
      <x:c r="K5" s="27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f>SUM(D5:U5)</x:f>
        <x:v>0</x:v>
      </x:c>
      <x:c r="W5" s="24" t="n">
        <x:f>SUM(D5,E5,F5,G5,K5)</x:f>
        <x:v>0</x:v>
      </x:c>
      <x:c r="X5" s="24" t="n">
        <x:f>ROUND(V5/18*40,1)</x:f>
        <x:v>0</x:v>
      </x:c>
      <x:c r="Y5" s="24" t="n">
        <x:f>ROUND(W5/5*15,1)</x:f>
        <x:v>0</x:v>
      </x:c>
      <x:c r="Z5" s="24" t="str"/>
      <x:c r="AA5" s="24" t="str"/>
      <x:c r="AB5" s="24" t="str"/>
      <x:c r="AC5" s="24" t="str"/>
      <x:c r="AD5" s="24" t="n">
        <x:f>SUM(X5:AC5)</x:f>
        <x:v>0</x:v>
      </x:c>
      <x:c r="AE5" s="24" t="str"/>
    </x:row>
    <x:row r="6">
      <x:c r="A6" s="24" t="str">
        <x:v>1반</x:v>
      </x:c>
      <x:c r="B6" s="24" t="str">
        <x:v>3조</x:v>
      </x:c>
      <x:c r="C6" s="24" t="str"/>
      <x:c r="D6" s="27" t="n">
        <x:v>0</x:v>
      </x:c>
      <x:c r="E6" s="27" t="n">
        <x:v>0</x:v>
      </x:c>
      <x:c r="F6" s="27" t="n">
        <x:v>0</x:v>
      </x:c>
      <x:c r="G6" s="27" t="n">
        <x:v>0</x:v>
      </x:c>
      <x:c r="H6" s="24" t="n">
        <x:v>0</x:v>
      </x:c>
      <x:c r="I6" s="24" t="n">
        <x:v>0</x:v>
      </x:c>
      <x:c r="J6" s="24" t="n">
        <x:v>0</x:v>
      </x:c>
      <x:c r="K6" s="27" t="n">
        <x:v>0</x:v>
      </x:c>
      <x:c r="L6" s="24" t="n">
        <x:v>0</x:v>
      </x:c>
      <x:c r="M6" s="24" t="n">
        <x:v>0</x:v>
      </x:c>
      <x:c r="N6" s="24" t="n">
        <x:v>0</x:v>
      </x:c>
      <x:c r="O6" s="24" t="n">
        <x:v>0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f>SUM(D6:U6)</x:f>
        <x:v>0</x:v>
      </x:c>
      <x:c r="W6" s="24" t="n">
        <x:f>SUM(D6,E6,F6,G6,K6)</x:f>
        <x:v>0</x:v>
      </x:c>
      <x:c r="X6" s="24" t="n">
        <x:f>ROUND(V6/18*40,1)</x:f>
        <x:v>0</x:v>
      </x:c>
      <x:c r="Y6" s="24" t="n">
        <x:f>ROUND(W6/5*15,1)</x:f>
        <x:v>0</x:v>
      </x:c>
      <x:c r="Z6" s="24" t="str"/>
      <x:c r="AA6" s="24" t="str"/>
      <x:c r="AB6" s="24" t="str"/>
      <x:c r="AC6" s="24" t="str"/>
      <x:c r="AD6" s="24" t="n">
        <x:f>SUM(X6:AC6)</x:f>
        <x:v>0</x:v>
      </x:c>
      <x:c r="AE6" s="24" t="str"/>
    </x:row>
    <x:row r="7">
      <x:c r="A7" s="24" t="str">
        <x:v>1반</x:v>
      </x:c>
      <x:c r="B7" s="24" t="str">
        <x:v>4조</x:v>
      </x:c>
      <x:c r="C7" s="24" t="str"/>
      <x:c r="D7" s="27" t="n">
        <x:v>0</x:v>
      </x:c>
      <x:c r="E7" s="27" t="n">
        <x:v>0</x:v>
      </x:c>
      <x:c r="F7" s="27" t="n">
        <x:v>0</x:v>
      </x:c>
      <x:c r="G7" s="27" t="n">
        <x:v>0</x:v>
      </x:c>
      <x:c r="H7" s="24" t="n">
        <x:v>0</x:v>
      </x:c>
      <x:c r="I7" s="24" t="n">
        <x:v>0</x:v>
      </x:c>
      <x:c r="J7" s="24" t="n">
        <x:v>0</x:v>
      </x:c>
      <x:c r="K7" s="27" t="n">
        <x:v>0</x:v>
      </x:c>
      <x:c r="L7" s="24" t="n">
        <x:v>0</x:v>
      </x:c>
      <x:c r="M7" s="24" t="n">
        <x:v>0</x:v>
      </x:c>
      <x:c r="N7" s="24" t="n">
        <x:v>0</x:v>
      </x:c>
      <x:c r="O7" s="24" t="n">
        <x:v>0</x:v>
      </x:c>
      <x:c r="P7" s="24" t="n">
        <x:v>0</x:v>
      </x:c>
      <x:c r="Q7" s="24" t="n">
        <x:v>0</x:v>
      </x:c>
      <x:c r="R7" s="24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f>SUM(D7:U7)</x:f>
        <x:v>0</x:v>
      </x:c>
      <x:c r="W7" s="24" t="n">
        <x:f>SUM(D7,E7,F7,G7,K7)</x:f>
        <x:v>0</x:v>
      </x:c>
      <x:c r="X7" s="24" t="n">
        <x:f>ROUND(V7/18*40,1)</x:f>
        <x:v>0</x:v>
      </x:c>
      <x:c r="Y7" s="24" t="n">
        <x:f>ROUND(W7/5*15,1)</x:f>
        <x:v>0</x:v>
      </x:c>
      <x:c r="Z7" s="24" t="str"/>
      <x:c r="AA7" s="24" t="str"/>
      <x:c r="AB7" s="24" t="str"/>
      <x:c r="AC7" s="24" t="str"/>
      <x:c r="AD7" s="24" t="n">
        <x:f>SUM(X7:AC7)</x:f>
        <x:v>0</x:v>
      </x:c>
      <x:c r="AE7" s="24" t="str"/>
    </x:row>
    <x:row r="8">
      <x:c r="A8" s="24" t="str">
        <x:v>1반</x:v>
      </x:c>
      <x:c r="B8" s="24" t="str">
        <x:v>5조</x:v>
      </x:c>
      <x:c r="C8" s="24" t="str"/>
      <x:c r="D8" s="27" t="n">
        <x:v>0</x:v>
      </x:c>
      <x:c r="E8" s="27" t="n">
        <x:v>0</x:v>
      </x:c>
      <x:c r="F8" s="27" t="n">
        <x:v>0</x:v>
      </x:c>
      <x:c r="G8" s="27" t="n">
        <x:v>0</x:v>
      </x:c>
      <x:c r="H8" s="24" t="n">
        <x:v>0</x:v>
      </x:c>
      <x:c r="I8" s="24" t="n">
        <x:v>0</x:v>
      </x:c>
      <x:c r="J8" s="24" t="n">
        <x:v>0</x:v>
      </x:c>
      <x:c r="K8" s="27" t="n">
        <x:v>0</x:v>
      </x:c>
      <x:c r="L8" s="24" t="n">
        <x:v>0</x:v>
      </x:c>
      <x:c r="M8" s="24" t="n">
        <x:v>0</x:v>
      </x:c>
      <x:c r="N8" s="24" t="n">
        <x:v>0</x:v>
      </x:c>
      <x:c r="O8" s="24" t="n">
        <x:v>0</x:v>
      </x:c>
      <x:c r="P8" s="24" t="n">
        <x:v>0</x:v>
      </x:c>
      <x:c r="Q8" s="24" t="n">
        <x:v>0</x:v>
      </x:c>
      <x:c r="R8" s="24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f>SUM(D8:U8)</x:f>
        <x:v>0</x:v>
      </x:c>
      <x:c r="W8" s="24" t="n">
        <x:f>SUM(D8,E8,F8,G8,K8)</x:f>
        <x:v>0</x:v>
      </x:c>
      <x:c r="X8" s="24" t="n">
        <x:f>ROUND(V8/18*40,1)</x:f>
        <x:v>0</x:v>
      </x:c>
      <x:c r="Y8" s="24" t="n">
        <x:f>ROUND(W8/5*15,1)</x:f>
        <x:v>0</x:v>
      </x:c>
      <x:c r="Z8" s="24" t="str"/>
      <x:c r="AA8" s="24" t="str"/>
      <x:c r="AB8" s="24" t="str"/>
      <x:c r="AC8" s="24" t="str"/>
      <x:c r="AD8" s="24" t="n">
        <x:f>SUM(X8:AC8)</x:f>
        <x:v>0</x:v>
      </x:c>
      <x:c r="AE8" s="24" t="str"/>
    </x:row>
    <x:row r="9">
      <x:c r="A9" s="24" t="str">
        <x:v>2반</x:v>
      </x:c>
      <x:c r="B9" s="24" t="str">
        <x:v>1조</x:v>
      </x:c>
      <x:c r="C9" s="24" t="str"/>
      <x:c r="D9" s="27" t="n">
        <x:v>0</x:v>
      </x:c>
      <x:c r="E9" s="27" t="n">
        <x:v>0</x:v>
      </x:c>
      <x:c r="F9" s="27" t="n">
        <x:v>0</x:v>
      </x:c>
      <x:c r="G9" s="27" t="n">
        <x:v>0</x:v>
      </x:c>
      <x:c r="H9" s="24" t="n">
        <x:v>0</x:v>
      </x:c>
      <x:c r="I9" s="24" t="n">
        <x:v>0</x:v>
      </x:c>
      <x:c r="J9" s="24" t="n">
        <x:v>0</x:v>
      </x:c>
      <x:c r="K9" s="27" t="n">
        <x:v>0</x:v>
      </x:c>
      <x:c r="L9" s="24" t="n">
        <x:v>0</x:v>
      </x:c>
      <x:c r="M9" s="24" t="n">
        <x:v>0</x:v>
      </x:c>
      <x:c r="N9" s="24" t="n">
        <x:v>0</x:v>
      </x:c>
      <x:c r="O9" s="24" t="n">
        <x:v>0</x:v>
      </x:c>
      <x:c r="P9" s="24" t="n">
        <x:v>0</x:v>
      </x:c>
      <x:c r="Q9" s="24" t="n">
        <x:v>0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f>SUM(D9:U9)</x:f>
        <x:v>0</x:v>
      </x:c>
      <x:c r="W9" s="24" t="n">
        <x:f>SUM(D9,E9,F9,G9,K9)</x:f>
        <x:v>0</x:v>
      </x:c>
      <x:c r="X9" s="24" t="n">
        <x:f>ROUND(V9/18*40,1)</x:f>
        <x:v>0</x:v>
      </x:c>
      <x:c r="Y9" s="24" t="n">
        <x:f>ROUND(W9/5*15,1)</x:f>
        <x:v>0</x:v>
      </x:c>
      <x:c r="Z9" s="24" t="str"/>
      <x:c r="AA9" s="24" t="str"/>
      <x:c r="AB9" s="24" t="str"/>
      <x:c r="AC9" s="24" t="str"/>
      <x:c r="AD9" s="24" t="n">
        <x:f>SUM(X9:AC9)</x:f>
        <x:v>0</x:v>
      </x:c>
      <x:c r="AE9" s="24" t="str"/>
    </x:row>
    <x:row r="10">
      <x:c r="A10" s="24" t="str">
        <x:v>2반</x:v>
      </x:c>
      <x:c r="B10" s="24" t="str">
        <x:v>2조</x:v>
      </x:c>
      <x:c r="C10" s="24" t="str"/>
      <x:c r="D10" s="27" t="n">
        <x:v>0</x:v>
      </x:c>
      <x:c r="E10" s="27" t="n">
        <x:v>0</x:v>
      </x:c>
      <x:c r="F10" s="27" t="n">
        <x:v>0</x:v>
      </x:c>
      <x:c r="G10" s="27" t="n">
        <x:v>0</x:v>
      </x:c>
      <x:c r="H10" s="24" t="n">
        <x:v>0</x:v>
      </x:c>
      <x:c r="I10" s="24" t="n">
        <x:v>0</x:v>
      </x:c>
      <x:c r="J10" s="24" t="n">
        <x:v>0</x:v>
      </x:c>
      <x:c r="K10" s="27" t="n">
        <x:v>0</x:v>
      </x:c>
      <x:c r="L10" s="24" t="n">
        <x:v>0</x:v>
      </x:c>
      <x:c r="M10" s="24" t="n">
        <x:v>0</x:v>
      </x:c>
      <x:c r="N10" s="24" t="n">
        <x:v>0</x:v>
      </x:c>
      <x:c r="O10" s="24" t="n">
        <x:v>0</x:v>
      </x:c>
      <x:c r="P10" s="24" t="n">
        <x:v>0</x:v>
      </x:c>
      <x:c r="Q10" s="24" t="n">
        <x:v>0</x:v>
      </x:c>
      <x:c r="R10" s="24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f>SUM(D10:U10)</x:f>
        <x:v>0</x:v>
      </x:c>
      <x:c r="W10" s="24" t="n">
        <x:f>SUM(D10,E10,F10,G10,K10)</x:f>
        <x:v>0</x:v>
      </x:c>
      <x:c r="X10" s="24" t="n">
        <x:f>ROUND(V10/18*40,1)</x:f>
        <x:v>0</x:v>
      </x:c>
      <x:c r="Y10" s="24" t="n">
        <x:f>ROUND(W10/5*15,1)</x:f>
        <x:v>0</x:v>
      </x:c>
      <x:c r="Z10" s="24" t="str"/>
      <x:c r="AA10" s="24" t="str"/>
      <x:c r="AB10" s="24" t="str"/>
      <x:c r="AC10" s="24" t="str"/>
      <x:c r="AD10" s="24" t="n">
        <x:f>SUM(X10:AC10)</x:f>
        <x:v>0</x:v>
      </x:c>
      <x:c r="AE10" s="24" t="str"/>
    </x:row>
    <x:row r="11">
      <x:c r="A11" s="24" t="str">
        <x:v>2반</x:v>
      </x:c>
      <x:c r="B11" s="24" t="str">
        <x:v>3조</x:v>
      </x:c>
      <x:c r="C11" s="24" t="str"/>
      <x:c r="D11" s="27" t="n">
        <x:v>0</x:v>
      </x:c>
      <x:c r="E11" s="27" t="n">
        <x:v>0</x:v>
      </x:c>
      <x:c r="F11" s="27" t="n">
        <x:v>0</x:v>
      </x:c>
      <x:c r="G11" s="27" t="n">
        <x:v>0</x:v>
      </x:c>
      <x:c r="H11" s="24" t="n">
        <x:v>0</x:v>
      </x:c>
      <x:c r="I11" s="24" t="n">
        <x:v>0</x:v>
      </x:c>
      <x:c r="J11" s="24" t="n">
        <x:v>0</x:v>
      </x:c>
      <x:c r="K11" s="27" t="n">
        <x:v>0</x:v>
      </x:c>
      <x:c r="L11" s="24" t="n">
        <x:v>0</x:v>
      </x:c>
      <x:c r="M11" s="24" t="n">
        <x:v>0</x:v>
      </x:c>
      <x:c r="N11" s="24" t="n">
        <x:v>0</x:v>
      </x:c>
      <x:c r="O11" s="24" t="n">
        <x:v>0</x:v>
      </x:c>
      <x:c r="P11" s="24" t="n">
        <x:v>0</x:v>
      </x:c>
      <x:c r="Q11" s="24" t="n">
        <x:v>0</x:v>
      </x:c>
      <x:c r="R11" s="24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f>SUM(D11:U11)</x:f>
        <x:v>0</x:v>
      </x:c>
      <x:c r="W11" s="24" t="n">
        <x:f>SUM(D11,E11,F11,G11,K11)</x:f>
        <x:v>0</x:v>
      </x:c>
      <x:c r="X11" s="24" t="n">
        <x:f>ROUND(V11/18*40,1)</x:f>
        <x:v>0</x:v>
      </x:c>
      <x:c r="Y11" s="24" t="n">
        <x:f>ROUND(W11/5*15,1)</x:f>
        <x:v>0</x:v>
      </x:c>
      <x:c r="Z11" s="24" t="str"/>
      <x:c r="AA11" s="24" t="str"/>
      <x:c r="AB11" s="24" t="str"/>
      <x:c r="AC11" s="24" t="str"/>
      <x:c r="AD11" s="24" t="n">
        <x:f>SUM(X11:AC11)</x:f>
        <x:v>0</x:v>
      </x:c>
      <x:c r="AE11" s="24" t="str"/>
    </x:row>
    <x:row r="12">
      <x:c r="A12" s="24" t="str">
        <x:v>2반</x:v>
      </x:c>
      <x:c r="B12" s="24" t="str">
        <x:v>4조</x:v>
      </x:c>
      <x:c r="C12" s="24" t="str"/>
      <x:c r="D12" s="27" t="n">
        <x:v>0</x:v>
      </x:c>
      <x:c r="E12" s="27" t="n">
        <x:v>0</x:v>
      </x:c>
      <x:c r="F12" s="27" t="n">
        <x:v>0</x:v>
      </x:c>
      <x:c r="G12" s="27" t="n">
        <x:v>0</x:v>
      </x:c>
      <x:c r="H12" s="24" t="n">
        <x:v>0</x:v>
      </x:c>
      <x:c r="I12" s="24" t="n">
        <x:v>0</x:v>
      </x:c>
      <x:c r="J12" s="24" t="n">
        <x:v>0</x:v>
      </x:c>
      <x:c r="K12" s="27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f>SUM(D12:U12)</x:f>
        <x:v>0</x:v>
      </x:c>
      <x:c r="W12" s="24" t="n">
        <x:f>SUM(D12,E12,F12,G12,K12)</x:f>
        <x:v>0</x:v>
      </x:c>
      <x:c r="X12" s="24" t="n">
        <x:f>ROUND(V12/18*40,1)</x:f>
        <x:v>0</x:v>
      </x:c>
      <x:c r="Y12" s="24" t="n">
        <x:f>ROUND(W12/5*15,1)</x:f>
        <x:v>0</x:v>
      </x:c>
      <x:c r="Z12" s="24" t="str"/>
      <x:c r="AA12" s="24" t="str"/>
      <x:c r="AB12" s="24" t="str"/>
      <x:c r="AC12" s="24" t="str"/>
      <x:c r="AD12" s="24" t="n">
        <x:f>SUM(X12:AC12)</x:f>
        <x:v>0</x:v>
      </x:c>
      <x:c r="AE12" s="24" t="str"/>
    </x:row>
    <x:row r="13">
      <x:c r="A13" s="24" t="str">
        <x:v>2반</x:v>
      </x:c>
      <x:c r="B13" s="24" t="str">
        <x:v>5조</x:v>
      </x:c>
      <x:c r="C13" s="24" t="str"/>
      <x:c r="D13" s="27" t="n">
        <x:v>0</x:v>
      </x:c>
      <x:c r="E13" s="27" t="n">
        <x:v>0</x:v>
      </x:c>
      <x:c r="F13" s="27" t="n">
        <x:v>0</x:v>
      </x:c>
      <x:c r="G13" s="27" t="n">
        <x:v>0</x:v>
      </x:c>
      <x:c r="H13" s="24" t="n">
        <x:v>0</x:v>
      </x:c>
      <x:c r="I13" s="24" t="n">
        <x:v>0</x:v>
      </x:c>
      <x:c r="J13" s="24" t="n">
        <x:v>0</x:v>
      </x:c>
      <x:c r="K13" s="27" t="n">
        <x:v>0</x:v>
      </x:c>
      <x:c r="L13" s="24" t="n">
        <x:v>0</x:v>
      </x:c>
      <x:c r="M13" s="24" t="n">
        <x:v>0</x:v>
      </x:c>
      <x:c r="N13" s="24" t="n">
        <x:v>0</x:v>
      </x:c>
      <x:c r="O13" s="24" t="n">
        <x:v>0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f>SUM(D13:U13)</x:f>
        <x:v>0</x:v>
      </x:c>
      <x:c r="W13" s="24" t="n">
        <x:f>SUM(D13,E13,F13,G13,K13)</x:f>
        <x:v>0</x:v>
      </x:c>
      <x:c r="X13" s="24" t="n">
        <x:f>ROUND(V13/18*40,1)</x:f>
        <x:v>0</x:v>
      </x:c>
      <x:c r="Y13" s="24" t="n">
        <x:f>ROUND(W13/5*15,1)</x:f>
        <x:v>0</x:v>
      </x:c>
      <x:c r="Z13" s="24" t="str"/>
      <x:c r="AA13" s="24" t="str"/>
      <x:c r="AB13" s="24" t="str"/>
      <x:c r="AC13" s="24" t="str"/>
      <x:c r="AD13" s="24" t="n">
        <x:f>SUM(X13:AC13)</x:f>
        <x:v>0</x:v>
      </x:c>
      <x:c r="AE13" s="24" t="str"/>
    </x:row>
    <x:row r="14">
      <x:c r="A14" s="24" t="str">
        <x:v>3반</x:v>
      </x:c>
      <x:c r="B14" s="24" t="str">
        <x:v>1조</x:v>
      </x:c>
      <x:c r="C14" s="24" t="str"/>
      <x:c r="D14" s="27" t="n">
        <x:v>0</x:v>
      </x:c>
      <x:c r="E14" s="27" t="n">
        <x:v>0</x:v>
      </x:c>
      <x:c r="F14" s="27" t="n">
        <x:v>0</x:v>
      </x:c>
      <x:c r="G14" s="27" t="n">
        <x:v>0</x:v>
      </x:c>
      <x:c r="H14" s="24" t="n">
        <x:v>0</x:v>
      </x:c>
      <x:c r="I14" s="24" t="n">
        <x:v>0</x:v>
      </x:c>
      <x:c r="J14" s="24" t="n">
        <x:v>0</x:v>
      </x:c>
      <x:c r="K14" s="27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f>SUM(D14:U14)</x:f>
        <x:v>0</x:v>
      </x:c>
      <x:c r="W14" s="24" t="n">
        <x:f>SUM(D14,E14,F14,G14,K14)</x:f>
        <x:v>0</x:v>
      </x:c>
      <x:c r="X14" s="24" t="n">
        <x:f>ROUND(V14/18*40,1)</x:f>
        <x:v>0</x:v>
      </x:c>
      <x:c r="Y14" s="24" t="n">
        <x:f>ROUND(W14/5*15,1)</x:f>
        <x:v>0</x:v>
      </x:c>
      <x:c r="Z14" s="24" t="str"/>
      <x:c r="AA14" s="24" t="str"/>
      <x:c r="AB14" s="24" t="str"/>
      <x:c r="AC14" s="24" t="str"/>
      <x:c r="AD14" s="24" t="n">
        <x:f>SUM(X14:AC14)</x:f>
        <x:v>0</x:v>
      </x:c>
      <x:c r="AE14" s="24" t="str"/>
    </x:row>
    <x:row r="15">
      <x:c r="A15" s="24" t="str">
        <x:v>3반</x:v>
      </x:c>
      <x:c r="B15" s="24" t="str">
        <x:v>2조</x:v>
      </x:c>
      <x:c r="C15" s="24" t="str"/>
      <x:c r="D15" s="27" t="n">
        <x:v>0</x:v>
      </x:c>
      <x:c r="E15" s="27" t="n">
        <x:v>0</x:v>
      </x:c>
      <x:c r="F15" s="27" t="n">
        <x:v>0</x:v>
      </x:c>
      <x:c r="G15" s="27" t="n">
        <x:v>0</x:v>
      </x:c>
      <x:c r="H15" s="24" t="n">
        <x:v>0</x:v>
      </x:c>
      <x:c r="I15" s="24" t="n">
        <x:v>0</x:v>
      </x:c>
      <x:c r="J15" s="24" t="n">
        <x:v>0</x:v>
      </x:c>
      <x:c r="K15" s="27" t="n">
        <x:v>0</x:v>
      </x:c>
      <x:c r="L15" s="24" t="n">
        <x:v>0</x:v>
      </x:c>
      <x:c r="M15" s="24" t="n">
        <x:v>0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f>SUM(D15:U15)</x:f>
        <x:v>0</x:v>
      </x:c>
      <x:c r="W15" s="24" t="n">
        <x:f>SUM(D15,E15,F15,G15,K15)</x:f>
        <x:v>0</x:v>
      </x:c>
      <x:c r="X15" s="24" t="n">
        <x:f>ROUND(V15/18*40,1)</x:f>
        <x:v>0</x:v>
      </x:c>
      <x:c r="Y15" s="24" t="n">
        <x:f>ROUND(W15/5*15,1)</x:f>
        <x:v>0</x:v>
      </x:c>
      <x:c r="Z15" s="24" t="str"/>
      <x:c r="AA15" s="24" t="str"/>
      <x:c r="AB15" s="24" t="str"/>
      <x:c r="AC15" s="24" t="str"/>
      <x:c r="AD15" s="24" t="n">
        <x:f>SUM(X15:AC15)</x:f>
        <x:v>0</x:v>
      </x:c>
      <x:c r="AE15" s="24" t="str"/>
    </x:row>
    <x:row r="16">
      <x:c r="A16" s="24" t="str">
        <x:v>3반</x:v>
      </x:c>
      <x:c r="B16" s="24" t="str">
        <x:v>3조</x:v>
      </x:c>
      <x:c r="C16" s="24" t="str"/>
      <x:c r="D16" s="27" t="n">
        <x:v>0</x:v>
      </x:c>
      <x:c r="E16" s="27" t="n">
        <x:v>0</x:v>
      </x:c>
      <x:c r="F16" s="27" t="n">
        <x:v>0</x:v>
      </x:c>
      <x:c r="G16" s="27" t="n">
        <x:v>0</x:v>
      </x:c>
      <x:c r="H16" s="24" t="n">
        <x:v>0</x:v>
      </x:c>
      <x:c r="I16" s="24" t="n">
        <x:v>0</x:v>
      </x:c>
      <x:c r="J16" s="24" t="n">
        <x:v>0</x:v>
      </x:c>
      <x:c r="K16" s="27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f>SUM(D16:U16)</x:f>
        <x:v>0</x:v>
      </x:c>
      <x:c r="W16" s="24" t="n">
        <x:f>SUM(D16,E16,F16,G16,K16)</x:f>
        <x:v>0</x:v>
      </x:c>
      <x:c r="X16" s="24" t="n">
        <x:f>ROUND(V16/18*40,1)</x:f>
        <x:v>0</x:v>
      </x:c>
      <x:c r="Y16" s="24" t="n">
        <x:f>ROUND(W16/5*15,1)</x:f>
        <x:v>0</x:v>
      </x:c>
      <x:c r="Z16" s="24" t="str"/>
      <x:c r="AA16" s="24" t="str"/>
      <x:c r="AB16" s="24" t="str"/>
      <x:c r="AC16" s="24" t="str"/>
      <x:c r="AD16" s="24" t="n">
        <x:f>SUM(X16:AC16)</x:f>
        <x:v>0</x:v>
      </x:c>
      <x:c r="AE16" s="24" t="str"/>
    </x:row>
    <x:row r="17">
      <x:c r="A17" s="24" t="str">
        <x:v>3반</x:v>
      </x:c>
      <x:c r="B17" s="24" t="str">
        <x:v>4조</x:v>
      </x:c>
      <x:c r="C17" s="24" t="str"/>
      <x:c r="D17" s="27" t="n">
        <x:v>0</x:v>
      </x:c>
      <x:c r="E17" s="27" t="n">
        <x:v>0</x:v>
      </x:c>
      <x:c r="F17" s="27" t="n">
        <x:v>0</x:v>
      </x:c>
      <x:c r="G17" s="27" t="n">
        <x:v>0</x:v>
      </x:c>
      <x:c r="H17" s="24" t="n">
        <x:v>0</x:v>
      </x:c>
      <x:c r="I17" s="24" t="n">
        <x:v>0</x:v>
      </x:c>
      <x:c r="J17" s="24" t="n">
        <x:v>0</x:v>
      </x:c>
      <x:c r="K17" s="27" t="n">
        <x:v>0</x:v>
      </x:c>
      <x:c r="L17" s="24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f>SUM(D17:U17)</x:f>
        <x:v>0</x:v>
      </x:c>
      <x:c r="W17" s="24" t="n">
        <x:f>SUM(D17,E17,F17,G17,K17)</x:f>
        <x:v>0</x:v>
      </x:c>
      <x:c r="X17" s="24" t="n">
        <x:f>ROUND(V17/18*40,1)</x:f>
        <x:v>0</x:v>
      </x:c>
      <x:c r="Y17" s="24" t="n">
        <x:f>ROUND(W17/5*15,1)</x:f>
        <x:v>0</x:v>
      </x:c>
      <x:c r="Z17" s="24" t="str"/>
      <x:c r="AA17" s="24" t="str"/>
      <x:c r="AB17" s="24" t="str"/>
      <x:c r="AC17" s="24" t="str"/>
      <x:c r="AD17" s="24" t="n">
        <x:f>SUM(X17:AC17)</x:f>
        <x:v>0</x:v>
      </x:c>
      <x:c r="AE17" s="24" t="str"/>
    </x:row>
    <x:row r="18">
      <x:c r="A18" s="24" t="str">
        <x:v>3반</x:v>
      </x:c>
      <x:c r="B18" s="24" t="str">
        <x:v>5조</x:v>
      </x:c>
      <x:c r="C18" s="24" t="str"/>
      <x:c r="D18" s="27" t="n">
        <x:v>0</x:v>
      </x:c>
      <x:c r="E18" s="27" t="n">
        <x:v>0</x:v>
      </x:c>
      <x:c r="F18" s="27" t="n">
        <x:v>0</x:v>
      </x:c>
      <x:c r="G18" s="27" t="n">
        <x:v>0</x:v>
      </x:c>
      <x:c r="H18" s="24" t="n">
        <x:v>0</x:v>
      </x:c>
      <x:c r="I18" s="24" t="n">
        <x:v>0</x:v>
      </x:c>
      <x:c r="J18" s="24" t="n">
        <x:v>0</x:v>
      </x:c>
      <x:c r="K18" s="27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</x:v>
      </x:c>
      <x:c r="R18" s="24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f>SUM(D18:U18)</x:f>
        <x:v>0</x:v>
      </x:c>
      <x:c r="W18" s="24" t="n">
        <x:f>SUM(D18,E18,F18,G18,K18)</x:f>
        <x:v>0</x:v>
      </x:c>
      <x:c r="X18" s="24" t="n">
        <x:f>ROUND(V18/18*40,1)</x:f>
        <x:v>0</x:v>
      </x:c>
      <x:c r="Y18" s="24" t="n">
        <x:f>ROUND(W18/5*15,1)</x:f>
        <x:v>0</x:v>
      </x:c>
      <x:c r="Z18" s="24" t="str"/>
      <x:c r="AA18" s="24" t="str"/>
      <x:c r="AB18" s="24" t="str"/>
      <x:c r="AC18" s="24" t="str"/>
      <x:c r="AD18" s="24" t="n">
        <x:f>SUM(X18:AC18)</x:f>
        <x:v>0</x:v>
      </x:c>
      <x:c r="AE18" s="24" t="str"/>
    </x:row>
    <x:row r="19">
      <x:c r="A19" s="24" t="str">
        <x:v>4반</x:v>
      </x:c>
      <x:c r="B19" s="24" t="str">
        <x:v>1조</x:v>
      </x:c>
      <x:c r="C19" s="24" t="str"/>
      <x:c r="D19" s="27" t="n">
        <x:v>0</x:v>
      </x:c>
      <x:c r="E19" s="27" t="n">
        <x:v>0</x:v>
      </x:c>
      <x:c r="F19" s="27" t="n">
        <x:v>0</x:v>
      </x:c>
      <x:c r="G19" s="27" t="n">
        <x:v>0</x:v>
      </x:c>
      <x:c r="H19" s="24" t="n">
        <x:v>0</x:v>
      </x:c>
      <x:c r="I19" s="24" t="n">
        <x:v>0</x:v>
      </x:c>
      <x:c r="J19" s="24" t="n">
        <x:v>0</x:v>
      </x:c>
      <x:c r="K19" s="27" t="n">
        <x:v>0</x:v>
      </x:c>
      <x:c r="L19" s="24" t="n">
        <x:v>0</x:v>
      </x:c>
      <x:c r="M19" s="24" t="n">
        <x:v>0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f>SUM(D19:U19)</x:f>
        <x:v>0</x:v>
      </x:c>
      <x:c r="W19" s="24" t="n">
        <x:f>SUM(D19,E19,F19,G19,K19)</x:f>
        <x:v>0</x:v>
      </x:c>
      <x:c r="X19" s="24" t="n">
        <x:f>ROUND(V19/18*40,1)</x:f>
        <x:v>0</x:v>
      </x:c>
      <x:c r="Y19" s="24" t="n">
        <x:f>ROUND(W19/5*15,1)</x:f>
        <x:v>0</x:v>
      </x:c>
      <x:c r="Z19" s="24" t="str"/>
      <x:c r="AA19" s="24" t="str"/>
      <x:c r="AB19" s="24" t="str"/>
      <x:c r="AC19" s="24" t="str"/>
      <x:c r="AD19" s="24" t="n">
        <x:f>SUM(X19:AC19)</x:f>
        <x:v>0</x:v>
      </x:c>
      <x:c r="AE19" s="24" t="str"/>
    </x:row>
    <x:row r="20">
      <x:c r="A20" s="24" t="str">
        <x:v>4반</x:v>
      </x:c>
      <x:c r="B20" s="24" t="str">
        <x:v>2조</x:v>
      </x:c>
      <x:c r="C20" s="24" t="str"/>
      <x:c r="D20" s="27" t="n">
        <x:v>0</x:v>
      </x:c>
      <x:c r="E20" s="27" t="n">
        <x:v>0</x:v>
      </x:c>
      <x:c r="F20" s="27" t="n">
        <x:v>0</x:v>
      </x:c>
      <x:c r="G20" s="27" t="n">
        <x:v>0</x:v>
      </x:c>
      <x:c r="H20" s="24" t="n">
        <x:v>0</x:v>
      </x:c>
      <x:c r="I20" s="24" t="n">
        <x:v>0</x:v>
      </x:c>
      <x:c r="J20" s="24" t="n">
        <x:v>0</x:v>
      </x:c>
      <x:c r="K20" s="27" t="n">
        <x:v>0</x:v>
      </x:c>
      <x:c r="L20" s="24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f>SUM(D20:U20)</x:f>
        <x:v>0</x:v>
      </x:c>
      <x:c r="W20" s="24" t="n">
        <x:f>SUM(D20,E20,F20,G20,K20)</x:f>
        <x:v>0</x:v>
      </x:c>
      <x:c r="X20" s="24" t="n">
        <x:f>ROUND(V20/18*40,1)</x:f>
        <x:v>0</x:v>
      </x:c>
      <x:c r="Y20" s="24" t="n">
        <x:f>ROUND(W20/5*15,1)</x:f>
        <x:v>0</x:v>
      </x:c>
      <x:c r="Z20" s="24" t="str"/>
      <x:c r="AA20" s="24" t="str"/>
      <x:c r="AB20" s="24" t="str"/>
      <x:c r="AC20" s="24" t="str"/>
      <x:c r="AD20" s="24" t="n">
        <x:f>SUM(X20:AC20)</x:f>
        <x:v>0</x:v>
      </x:c>
      <x:c r="AE20" s="24" t="str"/>
    </x:row>
    <x:row r="21">
      <x:c r="A21" s="24" t="str">
        <x:v>4반</x:v>
      </x:c>
      <x:c r="B21" s="24" t="str">
        <x:v>3조</x:v>
      </x:c>
      <x:c r="C21" s="24" t="str"/>
      <x:c r="D21" s="27" t="n">
        <x:v>0</x:v>
      </x:c>
      <x:c r="E21" s="27" t="n">
        <x:v>0</x:v>
      </x:c>
      <x:c r="F21" s="27" t="n">
        <x:v>0</x:v>
      </x:c>
      <x:c r="G21" s="27" t="n">
        <x:v>0</x:v>
      </x:c>
      <x:c r="H21" s="24" t="n">
        <x:v>0</x:v>
      </x:c>
      <x:c r="I21" s="24" t="n">
        <x:v>0</x:v>
      </x:c>
      <x:c r="J21" s="24" t="n">
        <x:v>0</x:v>
      </x:c>
      <x:c r="K21" s="27" t="n">
        <x:v>0</x:v>
      </x:c>
      <x:c r="L21" s="24" t="n">
        <x:v>0</x:v>
      </x:c>
      <x:c r="M21" s="24" t="n">
        <x:v>0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f>SUM(D21:U21)</x:f>
        <x:v>0</x:v>
      </x:c>
      <x:c r="W21" s="24" t="n">
        <x:f>SUM(D21,E21,F21,G21,K21)</x:f>
        <x:v>0</x:v>
      </x:c>
      <x:c r="X21" s="24" t="n">
        <x:f>ROUND(V21/18*40,1)</x:f>
        <x:v>0</x:v>
      </x:c>
      <x:c r="Y21" s="24" t="n">
        <x:f>ROUND(W21/5*15,1)</x:f>
        <x:v>0</x:v>
      </x:c>
      <x:c r="Z21" s="24" t="str"/>
      <x:c r="AA21" s="24" t="str"/>
      <x:c r="AB21" s="24" t="str"/>
      <x:c r="AC21" s="24" t="str"/>
      <x:c r="AD21" s="24" t="n">
        <x:f>SUM(X21:AC21)</x:f>
        <x:v>0</x:v>
      </x:c>
      <x:c r="AE21" s="24" t="str"/>
    </x:row>
    <x:row r="22">
      <x:c r="A22" s="24" t="str">
        <x:v>4반</x:v>
      </x:c>
      <x:c r="B22" s="24" t="str">
        <x:v>4조</x:v>
      </x:c>
      <x:c r="C22" s="24" t="str"/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4" t="n">
        <x:v>0</x:v>
      </x:c>
      <x:c r="I22" s="24" t="n">
        <x:v>0</x:v>
      </x:c>
      <x:c r="J22" s="24" t="n">
        <x:v>0</x:v>
      </x:c>
      <x:c r="K22" s="27" t="n">
        <x:v>0</x:v>
      </x:c>
      <x:c r="L22" s="24" t="n">
        <x:v>0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f>SUM(D22:U22)</x:f>
        <x:v>0</x:v>
      </x:c>
      <x:c r="W22" s="24" t="n">
        <x:f>SUM(D22,E22,F22,G22,K22)</x:f>
        <x:v>0</x:v>
      </x:c>
      <x:c r="X22" s="24" t="n">
        <x:f>ROUND(V22/18*40,1)</x:f>
        <x:v>0</x:v>
      </x:c>
      <x:c r="Y22" s="24" t="n">
        <x:f>ROUND(W22/5*15,1)</x:f>
        <x:v>0</x:v>
      </x:c>
      <x:c r="Z22" s="24" t="str"/>
      <x:c r="AA22" s="24" t="str"/>
      <x:c r="AB22" s="24" t="str"/>
      <x:c r="AC22" s="24" t="str"/>
      <x:c r="AD22" s="24" t="n">
        <x:f>SUM(X22:AC22)</x:f>
        <x:v>0</x:v>
      </x:c>
      <x:c r="AE22" s="24" t="str"/>
    </x:row>
    <x:row r="23">
      <x:c r="A23" s="24" t="str">
        <x:v>4반</x:v>
      </x:c>
      <x:c r="B23" s="24" t="str">
        <x:v>5조</x:v>
      </x:c>
      <x:c r="C23" s="24" t="str"/>
      <x:c r="D23" s="27" t="n">
        <x:v>0</x:v>
      </x:c>
      <x:c r="E23" s="27" t="n">
        <x:v>0</x:v>
      </x:c>
      <x:c r="F23" s="27" t="n">
        <x:v>0</x:v>
      </x:c>
      <x:c r="G23" s="27" t="n">
        <x:v>0</x:v>
      </x:c>
      <x:c r="H23" s="24" t="n">
        <x:v>0</x:v>
      </x:c>
      <x:c r="I23" s="24" t="n">
        <x:v>0</x:v>
      </x:c>
      <x:c r="J23" s="24" t="n">
        <x:v>0</x:v>
      </x:c>
      <x:c r="K23" s="27" t="n">
        <x:v>0</x:v>
      </x:c>
      <x:c r="L23" s="24" t="n">
        <x:v>0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f>SUM(D23:U23)</x:f>
        <x:v>0</x:v>
      </x:c>
      <x:c r="W23" s="24" t="n">
        <x:f>SUM(D23,E23,F23,G23,K23)</x:f>
        <x:v>0</x:v>
      </x:c>
      <x:c r="X23" s="24" t="n">
        <x:f>ROUND(V23/18*40,1)</x:f>
        <x:v>0</x:v>
      </x:c>
      <x:c r="Y23" s="24" t="n">
        <x:f>ROUND(W23/5*15,1)</x:f>
        <x:v>0</x:v>
      </x:c>
      <x:c r="Z23" s="24" t="str"/>
      <x:c r="AA23" s="24" t="str"/>
      <x:c r="AB23" s="24" t="str"/>
      <x:c r="AC23" s="24" t="str"/>
      <x:c r="AD23" s="24" t="n">
        <x:f>SUM(X23:AC23)</x:f>
        <x:v>0</x:v>
      </x:c>
      <x:c r="AE23" s="24" t="str"/>
    </x:row>
    <x:row r="25">
      <x:c r="A25" s="36" t="str">
        <x:v>주의: D01, D02, D03, D04, D08는 고위험 오류입니다. 고위험 오류는 발견 여부뿐 아니라 왜 즉시 위해가 되는지 설명할 수 있어야 합니다.</x:v>
      </x:c>
    </x:row>
  </x:sheetData>
  <x:mergeCells>
    <x:mergeCell ref="A1:AE1"/>
    <x:mergeCell ref="A25:AE25"/>
  </x:mergeCells>
  <x:conditionalFormatting sqref="AD4:AD23">
    <x:cfRule type="cellIs" dxfId="6" priority="1" operator="lessThan">
      <x:formula>70</x:formula>
    </x:cfRule>
    <x:cfRule type="cellIs" dxfId="7" priority="2" operator="greaterThanOrEqual">
      <x:formula>90</x:formula>
    </x:cfRule>
  </x:conditionalFormatting>
  <x:dataValidations count="4">
    <x:dataValidation type="list" sqref="D4:U23">
      <x:formula1>"0,1"</x:formula1>
    </x:dataValidation>
    <x:dataValidation type="whole" operator="between" sqref="Z4:AA23">
      <x:formula1>0</x:formula1>
      <x:formula2>15</x:formula2>
    </x:dataValidation>
    <x:dataValidation type="whole" operator="between" sqref="AB4:AB23">
      <x:formula1>0</x:formula1>
      <x:formula2>10</x:formula2>
    </x:dataValidation>
    <x:dataValidation type="whole" operator="between" sqref="AC4:AC23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deddef158543b4"/>
  </x:tableParts>
</x:worksheet>
</file>